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Piloto 10 Muebles (Cierre)" sheetId="1" state="visible" r:id="rId1"/>
    <sheet name="1. Cotizador Henn (BRL)" sheetId="2" state="visible" r:id="rId2"/>
    <sheet name="2. Cotizador Henn (USD)" sheetId="3" state="visible" r:id="rId3"/>
    <sheet name="3. Cotizador Henn (COP)" sheetId="4" state="visible" r:id="rId4"/>
    <sheet name="4. Rentabilidad Mario (COP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$#,##0"/>
    <numFmt numFmtId="165" formatCode="$#,##0.00"/>
    <numFmt numFmtId="166" formatCode="0.0%"/>
    <numFmt numFmtId="167" formatCode="R$ #,##0.00"/>
    <numFmt numFmtId="168" formatCode="0.0"/>
    <numFmt numFmtId="169" formatCode="0.00&quot;x&quot;"/>
    <numFmt numFmtId="170" formatCode="0.00 &quot;BRL/USD&quot;"/>
    <numFmt numFmtId="171" formatCode="$ #,##0.00"/>
    <numFmt numFmtId="172" formatCode="$ #,##0 &quot;COP/USD&quot;"/>
    <numFmt numFmtId="173" formatCode="$ #,##0"/>
  </numFmts>
  <fonts count="27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64748B"/>
      <sz val="11"/>
    </font>
    <font>
      <name val="Segoe UI"/>
      <b val="1"/>
      <color rgb="000088AA"/>
      <sz val="12"/>
    </font>
    <font>
      <name val="Segoe UI"/>
      <b val="1"/>
      <color rgb="000369A1"/>
      <sz val="11"/>
    </font>
    <font>
      <name val="Segoe UI"/>
      <b val="1"/>
      <color rgb="000F172A"/>
      <sz val="11"/>
    </font>
    <font>
      <name val="Segoe UI"/>
      <color rgb="0064748B"/>
      <sz val="11"/>
    </font>
    <font>
      <name val="Segoe UI"/>
      <b val="1"/>
      <color rgb="0015803D"/>
      <sz val="11"/>
    </font>
    <font>
      <name val="Segoe UI"/>
      <b val="1"/>
      <color rgb="00FFFFFF"/>
      <sz val="11"/>
    </font>
    <font>
      <name val="Segoe UI"/>
      <b val="1"/>
      <sz val="10"/>
    </font>
    <font>
      <name val="Segoe UI"/>
      <b val="1"/>
      <color rgb="000F172A"/>
      <sz val="10"/>
    </font>
    <font>
      <name val="Segoe UI"/>
      <color rgb="0015803D"/>
      <sz val="10"/>
    </font>
    <font>
      <name val="Segoe UI"/>
      <b val="1"/>
      <sz val="11"/>
    </font>
    <font>
      <name val="Segoe UI"/>
      <b val="1"/>
      <color rgb="0015803D"/>
      <sz val="12"/>
    </font>
    <font>
      <name val="Segoe UI"/>
      <b val="1"/>
      <color rgb="000088AA"/>
      <sz val="11"/>
    </font>
    <font>
      <name val="Quattrocento Sans"/>
      <b val="1"/>
      <color rgb="FFFFFFFF"/>
      <sz val="14"/>
    </font>
    <font>
      <name val="Quattrocento Sans"/>
      <i val="1"/>
      <color rgb="FFE2E8F0"/>
      <sz val="9"/>
    </font>
    <font>
      <name val="Quattrocento Sans"/>
      <b val="1"/>
      <color rgb="FF0F172A"/>
      <sz val="9"/>
    </font>
    <font>
      <name val="Quattrocento Sans"/>
      <i val="1"/>
      <color rgb="FF64748B"/>
      <sz val="8"/>
    </font>
    <font>
      <name val="Quattrocento Sans"/>
      <b val="1"/>
      <color rgb="FF475569"/>
      <sz val="8"/>
    </font>
    <font>
      <name val="Quattrocento Sans"/>
      <b val="1"/>
      <color rgb="FFB91C1C"/>
      <sz val="13"/>
    </font>
    <font>
      <name val="Quattrocento Sans"/>
      <b val="1"/>
      <color rgb="FF0369A1"/>
      <sz val="13"/>
    </font>
    <font>
      <name val="Quattrocento Sans"/>
      <b val="1"/>
      <color rgb="FF047857"/>
      <sz val="13"/>
    </font>
    <font>
      <name val="Quattrocento Sans"/>
      <b val="1"/>
      <color rgb="FF0F172A"/>
      <sz val="11"/>
    </font>
    <font>
      <name val="Quattrocento Sans"/>
      <color rgb="FF1E293B"/>
      <sz val="9"/>
    </font>
    <font>
      <name val="Quattrocento Sans"/>
      <b val="1"/>
      <color rgb="FFFFFFFF"/>
      <sz val="9"/>
    </font>
    <font>
      <name val="Quattrocento Sans"/>
      <b val="1"/>
      <color rgb="FFB45309"/>
      <sz val="13"/>
    </font>
  </fonts>
  <fills count="19">
    <fill>
      <patternFill/>
    </fill>
    <fill>
      <patternFill patternType="gray125"/>
    </fill>
    <fill>
      <patternFill patternType="solid">
        <fgColor rgb="00E0F2FE"/>
        <bgColor rgb="00E0F2FE"/>
      </patternFill>
    </fill>
    <fill>
      <patternFill patternType="solid">
        <fgColor rgb="00DCFCE7"/>
        <bgColor rgb="00DCFCE7"/>
      </patternFill>
    </fill>
    <fill>
      <patternFill patternType="solid">
        <fgColor rgb="000088AA"/>
        <bgColor rgb="000088AA"/>
      </patternFill>
    </fill>
    <fill>
      <patternFill patternType="solid">
        <fgColor rgb="001E293B"/>
        <bgColor rgb="001E293B"/>
      </patternFill>
    </fill>
    <fill>
      <patternFill patternType="solid">
        <fgColor rgb="FF0F172A"/>
        <bgColor rgb="FF0F172A"/>
      </patternFill>
    </fill>
    <fill>
      <patternFill patternType="solid">
        <fgColor rgb="FFF1F5F9"/>
        <bgColor rgb="FFF1F5F9"/>
      </patternFill>
    </fill>
    <fill>
      <patternFill patternType="solid">
        <fgColor rgb="FFFEF2F2"/>
        <bgColor rgb="FFFEF2F2"/>
      </patternFill>
    </fill>
    <fill>
      <patternFill patternType="solid">
        <fgColor rgb="FFF0F9FF"/>
        <bgColor rgb="FFF0F9FF"/>
      </patternFill>
    </fill>
    <fill>
      <patternFill patternType="solid">
        <fgColor rgb="FFECFDF5"/>
        <bgColor rgb="FFECFDF5"/>
      </patternFill>
    </fill>
    <fill>
      <patternFill patternType="solid">
        <fgColor rgb="FFE0F2FE"/>
        <bgColor rgb="FFE0F2FE"/>
      </patternFill>
    </fill>
    <fill>
      <patternFill patternType="solid">
        <fgColor rgb="FF0891B2"/>
        <bgColor rgb="FF0891B2"/>
      </patternFill>
    </fill>
    <fill>
      <patternFill patternType="solid">
        <fgColor rgb="FFA64D79"/>
        <bgColor rgb="FFA64D79"/>
      </patternFill>
    </fill>
    <fill>
      <patternFill patternType="solid">
        <fgColor rgb="FFD1FAE5"/>
        <bgColor rgb="FFD1FAE5"/>
      </patternFill>
    </fill>
    <fill>
      <patternFill patternType="solid">
        <fgColor rgb="FFE0E7FF"/>
        <bgColor rgb="FFE0E7FF"/>
      </patternFill>
    </fill>
    <fill>
      <patternFill patternType="solid">
        <fgColor rgb="FFFEF3C7"/>
        <bgColor rgb="FFFEF3C7"/>
      </patternFill>
    </fill>
    <fill>
      <patternFill patternType="solid">
        <fgColor rgb="FFFFFBEB"/>
        <bgColor rgb="FFFFFBEB"/>
      </patternFill>
    </fill>
    <fill>
      <patternFill patternType="solid">
        <fgColor rgb="FFB45309"/>
        <bgColor rgb="FFB45309"/>
      </patternFill>
    </fill>
  </fills>
  <borders count="6">
    <border>
      <left/>
      <right/>
      <top/>
      <bottom/>
      <diagonal/>
    </border>
    <border>
      <left/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/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0F172A"/>
      </bottom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0891B2"/>
      </bottom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0" fontId="4" fillId="2" borderId="0" pivotButton="0" quotePrefix="0" xfId="0"/>
    <xf numFmtId="164" fontId="5" fillId="0" borderId="0" pivotButton="0" quotePrefix="0" xfId="0"/>
    <xf numFmtId="2" fontId="4" fillId="2" borderId="0" pivotButton="0" quotePrefix="0" xfId="0"/>
    <xf numFmtId="165" fontId="6" fillId="0" borderId="0" pivotButton="0" quotePrefix="0" xfId="0"/>
    <xf numFmtId="166" fontId="7" fillId="3" borderId="0" pivotButton="0" quotePrefix="0" xfId="0"/>
    <xf numFmtId="0" fontId="8" fillId="4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4" fontId="7" fillId="0" borderId="0" pivotButton="0" quotePrefix="0" xfId="0"/>
    <xf numFmtId="166" fontId="7" fillId="0" borderId="0" pivotButton="0" quotePrefix="0" xfId="0"/>
    <xf numFmtId="0" fontId="8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164" fontId="10" fillId="0" borderId="0" pivotButton="0" quotePrefix="0" xfId="0"/>
    <xf numFmtId="164" fontId="11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0" fontId="5" fillId="0" borderId="0" pivotButton="0" quotePrefix="0" xfId="0"/>
    <xf numFmtId="0" fontId="12" fillId="0" borderId="0" applyAlignment="1" pivotButton="0" quotePrefix="0" xfId="0">
      <alignment horizontal="center"/>
    </xf>
    <xf numFmtId="164" fontId="3" fillId="0" borderId="0" pivotButton="0" quotePrefix="0" xfId="0"/>
    <xf numFmtId="164" fontId="13" fillId="0" borderId="0" pivotButton="0" quotePrefix="0" xfId="0"/>
    <xf numFmtId="165" fontId="12" fillId="0" borderId="0" pivotButton="0" quotePrefix="0" xfId="0"/>
    <xf numFmtId="167" fontId="12" fillId="0" borderId="0" pivotButton="0" quotePrefix="0" xfId="0"/>
    <xf numFmtId="164" fontId="14" fillId="0" borderId="0" pivotButton="0" quotePrefix="0" xfId="0"/>
    <xf numFmtId="0" fontId="15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7" fillId="7" borderId="2" applyAlignment="1" pivotButton="0" quotePrefix="0" xfId="0">
      <alignment horizontal="right" vertical="center"/>
    </xf>
    <xf numFmtId="0" fontId="17" fillId="7" borderId="2" applyAlignment="1" pivotButton="0" quotePrefix="0" xfId="0">
      <alignment horizontal="center" vertical="center"/>
    </xf>
    <xf numFmtId="0" fontId="18" fillId="0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19" fillId="9" borderId="2" applyAlignment="1" pivotButton="0" quotePrefix="0" xfId="0">
      <alignment horizontal="center" vertical="center"/>
    </xf>
    <xf numFmtId="0" fontId="19" fillId="10" borderId="2" applyAlignment="1" pivotButton="0" quotePrefix="0" xfId="0">
      <alignment horizontal="center" vertical="center"/>
    </xf>
    <xf numFmtId="167" fontId="20" fillId="8" borderId="2" applyAlignment="1" pivotButton="0" quotePrefix="0" xfId="0">
      <alignment horizontal="center" vertical="center"/>
    </xf>
    <xf numFmtId="167" fontId="21" fillId="9" borderId="2" applyAlignment="1" pivotButton="0" quotePrefix="0" xfId="0">
      <alignment horizontal="center" vertical="center"/>
    </xf>
    <xf numFmtId="167" fontId="22" fillId="10" borderId="2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9" borderId="2" applyAlignment="1" pivotButton="0" quotePrefix="0" xfId="0">
      <alignment horizontal="center" vertical="center"/>
    </xf>
    <xf numFmtId="0" fontId="18" fillId="10" borderId="2" applyAlignment="1" pivotButton="0" quotePrefix="0" xfId="0">
      <alignment horizontal="center" vertical="center"/>
    </xf>
    <xf numFmtId="0" fontId="23" fillId="0" borderId="3" pivotButton="0" quotePrefix="0" xfId="0"/>
    <xf numFmtId="0" fontId="24" fillId="0" borderId="2" applyAlignment="1" pivotButton="0" quotePrefix="0" xfId="0">
      <alignment horizontal="left" vertical="center"/>
    </xf>
    <xf numFmtId="3" fontId="17" fillId="11" borderId="2" applyAlignment="1" pivotButton="0" quotePrefix="0" xfId="0">
      <alignment horizontal="right" vertical="center"/>
    </xf>
    <xf numFmtId="168" fontId="17" fillId="11" borderId="2" applyAlignment="1" pivotButton="0" quotePrefix="0" xfId="0">
      <alignment horizontal="right" vertical="center"/>
    </xf>
    <xf numFmtId="167" fontId="17" fillId="11" borderId="2" applyAlignment="1" pivotButton="0" quotePrefix="0" xfId="0">
      <alignment horizontal="right" vertical="center"/>
    </xf>
    <xf numFmtId="0" fontId="17" fillId="8" borderId="4" pivotButton="0" quotePrefix="0" xfId="0"/>
    <xf numFmtId="0" fontId="18" fillId="8" borderId="4" pivotButton="0" quotePrefix="0" xfId="0"/>
    <xf numFmtId="167" fontId="20" fillId="8" borderId="4" applyAlignment="1" pivotButton="0" quotePrefix="0" xfId="0">
      <alignment horizontal="right" vertical="center"/>
    </xf>
    <xf numFmtId="0" fontId="17" fillId="8" borderId="4" applyAlignment="1" pivotButton="0" quotePrefix="0" xfId="0">
      <alignment horizontal="center" vertical="center"/>
    </xf>
    <xf numFmtId="0" fontId="17" fillId="0" borderId="2" pivotButton="0" quotePrefix="0" xfId="0"/>
    <xf numFmtId="166" fontId="21" fillId="11" borderId="2" applyAlignment="1" pivotButton="0" quotePrefix="0" xfId="0">
      <alignment horizontal="right" vertical="center"/>
    </xf>
    <xf numFmtId="0" fontId="25" fillId="12" borderId="5" applyAlignment="1" pivotButton="0" quotePrefix="0" xfId="0">
      <alignment horizontal="center" vertical="center"/>
    </xf>
    <xf numFmtId="0" fontId="25" fillId="13" borderId="5" applyAlignment="1" pivotButton="0" quotePrefix="0" xfId="0">
      <alignment horizontal="center" vertical="center"/>
    </xf>
    <xf numFmtId="0" fontId="24" fillId="0" borderId="2" pivotButton="0" quotePrefix="0" xfId="0"/>
    <xf numFmtId="166" fontId="24" fillId="0" borderId="2" applyAlignment="1" pivotButton="0" quotePrefix="0" xfId="0">
      <alignment horizontal="center" vertical="center"/>
    </xf>
    <xf numFmtId="167" fontId="24" fillId="0" borderId="2" applyAlignment="1" pivotButton="0" quotePrefix="0" xfId="0">
      <alignment horizontal="right" vertical="center"/>
    </xf>
    <xf numFmtId="0" fontId="17" fillId="14" borderId="2" pivotButton="0" quotePrefix="0" xfId="0"/>
    <xf numFmtId="166" fontId="17" fillId="14" borderId="2" applyAlignment="1" pivotButton="0" quotePrefix="0" xfId="0">
      <alignment horizontal="center" vertical="center"/>
    </xf>
    <xf numFmtId="167" fontId="17" fillId="14" borderId="2" applyAlignment="1" pivotButton="0" quotePrefix="0" xfId="0">
      <alignment horizontal="right" vertical="center"/>
    </xf>
    <xf numFmtId="169" fontId="17" fillId="0" borderId="2" applyAlignment="1" pivotButton="0" quotePrefix="0" xfId="0">
      <alignment horizontal="center" vertical="center"/>
    </xf>
    <xf numFmtId="167" fontId="17" fillId="0" borderId="2" applyAlignment="1" pivotButton="0" quotePrefix="0" xfId="0">
      <alignment horizontal="right" vertical="center"/>
    </xf>
    <xf numFmtId="169" fontId="17" fillId="14" borderId="2" applyAlignment="1" pivotButton="0" quotePrefix="0" xfId="0">
      <alignment horizontal="center" vertical="center"/>
    </xf>
    <xf numFmtId="0" fontId="18" fillId="14" borderId="2" applyAlignment="1" pivotButton="0" quotePrefix="0" xfId="0">
      <alignment horizontal="left" vertical="center"/>
    </xf>
    <xf numFmtId="0" fontId="17" fillId="15" borderId="2" applyAlignment="1" pivotButton="0" quotePrefix="0" xfId="0">
      <alignment horizontal="right" vertical="center"/>
    </xf>
    <xf numFmtId="170" fontId="21" fillId="11" borderId="2" applyAlignment="1" pivotButton="0" quotePrefix="0" xfId="0">
      <alignment horizontal="right" vertical="center"/>
    </xf>
    <xf numFmtId="171" fontId="20" fillId="8" borderId="2" applyAlignment="1" pivotButton="0" quotePrefix="0" xfId="0">
      <alignment horizontal="center" vertical="center"/>
    </xf>
    <xf numFmtId="171" fontId="21" fillId="9" borderId="2" applyAlignment="1" pivotButton="0" quotePrefix="0" xfId="0">
      <alignment horizontal="center" vertical="center"/>
    </xf>
    <xf numFmtId="171" fontId="22" fillId="10" borderId="2" applyAlignment="1" pivotButton="0" quotePrefix="0" xfId="0">
      <alignment horizontal="center" vertical="center"/>
    </xf>
    <xf numFmtId="3" fontId="17" fillId="0" borderId="2" applyAlignment="1" pivotButton="0" quotePrefix="0" xfId="0">
      <alignment horizontal="right" vertical="center"/>
    </xf>
    <xf numFmtId="168" fontId="17" fillId="0" borderId="2" applyAlignment="1" pivotButton="0" quotePrefix="0" xfId="0">
      <alignment horizontal="right" vertical="center"/>
    </xf>
    <xf numFmtId="171" fontId="17" fillId="0" borderId="2" applyAlignment="1" pivotButton="0" quotePrefix="0" xfId="0">
      <alignment horizontal="right" vertical="center"/>
    </xf>
    <xf numFmtId="171" fontId="20" fillId="8" borderId="4" applyAlignment="1" pivotButton="0" quotePrefix="0" xfId="0">
      <alignment horizontal="right" vertical="center"/>
    </xf>
    <xf numFmtId="166" fontId="21" fillId="0" borderId="2" applyAlignment="1" pivotButton="0" quotePrefix="0" xfId="0">
      <alignment horizontal="right" vertical="center"/>
    </xf>
    <xf numFmtId="171" fontId="24" fillId="0" borderId="2" applyAlignment="1" pivotButton="0" quotePrefix="0" xfId="0">
      <alignment horizontal="right" vertical="center"/>
    </xf>
    <xf numFmtId="0" fontId="17" fillId="15" borderId="2" pivotButton="0" quotePrefix="0" xfId="0"/>
    <xf numFmtId="166" fontId="17" fillId="15" borderId="2" applyAlignment="1" pivotButton="0" quotePrefix="0" xfId="0">
      <alignment horizontal="center" vertical="center"/>
    </xf>
    <xf numFmtId="171" fontId="17" fillId="15" borderId="2" applyAlignment="1" pivotButton="0" quotePrefix="0" xfId="0">
      <alignment horizontal="right" vertical="center"/>
    </xf>
    <xf numFmtId="169" fontId="17" fillId="15" borderId="2" applyAlignment="1" pivotButton="0" quotePrefix="0" xfId="0">
      <alignment horizontal="center" vertical="center"/>
    </xf>
    <xf numFmtId="0" fontId="18" fillId="15" borderId="2" applyAlignment="1" pivotButton="0" quotePrefix="0" xfId="0">
      <alignment horizontal="left" vertical="center"/>
    </xf>
    <xf numFmtId="0" fontId="17" fillId="16" borderId="2" applyAlignment="1" pivotButton="0" quotePrefix="0" xfId="0">
      <alignment horizontal="right" vertical="center"/>
    </xf>
    <xf numFmtId="172" fontId="26" fillId="11" borderId="2" applyAlignment="1" pivotButton="0" quotePrefix="0" xfId="0">
      <alignment horizontal="right" vertical="center"/>
    </xf>
    <xf numFmtId="173" fontId="20" fillId="8" borderId="2" applyAlignment="1" pivotButton="0" quotePrefix="0" xfId="0">
      <alignment horizontal="center" vertical="center"/>
    </xf>
    <xf numFmtId="173" fontId="21" fillId="9" borderId="2" applyAlignment="1" pivotButton="0" quotePrefix="0" xfId="0">
      <alignment horizontal="center" vertical="center"/>
    </xf>
    <xf numFmtId="173" fontId="22" fillId="10" borderId="2" applyAlignment="1" pivotButton="0" quotePrefix="0" xfId="0">
      <alignment horizontal="center" vertical="center"/>
    </xf>
    <xf numFmtId="173" fontId="17" fillId="0" borderId="2" applyAlignment="1" pivotButton="0" quotePrefix="0" xfId="0">
      <alignment horizontal="right" vertical="center"/>
    </xf>
    <xf numFmtId="173" fontId="20" fillId="8" borderId="4" applyAlignment="1" pivotButton="0" quotePrefix="0" xfId="0">
      <alignment horizontal="right" vertical="center"/>
    </xf>
    <xf numFmtId="173" fontId="24" fillId="0" borderId="2" applyAlignment="1" pivotButton="0" quotePrefix="0" xfId="0">
      <alignment horizontal="right" vertical="center"/>
    </xf>
    <xf numFmtId="0" fontId="17" fillId="16" borderId="2" pivotButton="0" quotePrefix="0" xfId="0"/>
    <xf numFmtId="166" fontId="17" fillId="16" borderId="2" applyAlignment="1" pivotButton="0" quotePrefix="0" xfId="0">
      <alignment horizontal="center" vertical="center"/>
    </xf>
    <xf numFmtId="173" fontId="17" fillId="16" borderId="2" applyAlignment="1" pivotButton="0" quotePrefix="0" xfId="0">
      <alignment horizontal="right" vertical="center"/>
    </xf>
    <xf numFmtId="169" fontId="17" fillId="16" borderId="2" applyAlignment="1" pivotButton="0" quotePrefix="0" xfId="0">
      <alignment horizontal="center" vertical="center"/>
    </xf>
    <xf numFmtId="0" fontId="18" fillId="16" borderId="2" applyAlignment="1" pivotButton="0" quotePrefix="0" xfId="0">
      <alignment horizontal="left" vertical="center"/>
    </xf>
    <xf numFmtId="0" fontId="19" fillId="17" borderId="2" applyAlignment="1" pivotButton="0" quotePrefix="0" xfId="0">
      <alignment horizontal="center" vertical="center"/>
    </xf>
    <xf numFmtId="173" fontId="26" fillId="17" borderId="2" applyAlignment="1" pivotButton="0" quotePrefix="0" xfId="0">
      <alignment horizontal="center" vertical="center"/>
    </xf>
    <xf numFmtId="0" fontId="18" fillId="17" borderId="2" applyAlignment="1" pivotButton="0" quotePrefix="0" xfId="0">
      <alignment horizontal="center" vertical="center"/>
    </xf>
    <xf numFmtId="173" fontId="17" fillId="11" borderId="2" applyAlignment="1" pivotButton="0" quotePrefix="0" xfId="0">
      <alignment horizontal="right" vertical="center"/>
    </xf>
    <xf numFmtId="166" fontId="17" fillId="11" borderId="2" applyAlignment="1" pivotButton="0" quotePrefix="0" xfId="0">
      <alignment horizontal="right" vertical="center"/>
    </xf>
    <xf numFmtId="0" fontId="17" fillId="10" borderId="4" pivotButton="0" quotePrefix="0" xfId="0"/>
    <xf numFmtId="0" fontId="18" fillId="10" borderId="4" pivotButton="0" quotePrefix="0" xfId="0"/>
    <xf numFmtId="173" fontId="22" fillId="10" borderId="4" applyAlignment="1" pivotButton="0" quotePrefix="0" xfId="0">
      <alignment horizontal="right" vertical="center"/>
    </xf>
    <xf numFmtId="0" fontId="17" fillId="10" borderId="4" applyAlignment="1" pivotButton="0" quotePrefix="0" xfId="0">
      <alignment horizontal="center" vertical="center"/>
    </xf>
    <xf numFmtId="0" fontId="23" fillId="0" borderId="2" pivotButton="0" quotePrefix="0" xfId="0"/>
    <xf numFmtId="171" fontId="17" fillId="16" borderId="2" applyAlignment="1" pivotButton="0" quotePrefix="0" xfId="0">
      <alignment horizontal="right" vertical="center"/>
    </xf>
    <xf numFmtId="0" fontId="25" fillId="18" borderId="5" applyAlignment="1" pivotButton="0" quotePrefix="0" xfId="0">
      <alignment horizontal="center" vertical="center"/>
    </xf>
    <xf numFmtId="166" fontId="25" fillId="18" borderId="5" applyAlignment="1" pivotButton="0" quotePrefix="0" xfId="0">
      <alignment horizontal="center" vertical="center"/>
    </xf>
    <xf numFmtId="171" fontId="25" fillId="18" borderId="5" applyAlignment="1" pivotButton="0" quotePrefix="0" xfId="0">
      <alignment horizontal="center" vertical="center"/>
    </xf>
    <xf numFmtId="173" fontId="25" fillId="18" borderId="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8" customWidth="1" min="3" max="3"/>
    <col width="24" customWidth="1" min="4" max="4"/>
    <col width="34" customWidth="1" min="5" max="5"/>
    <col width="26" customWidth="1" min="6" max="6"/>
    <col width="22" customWidth="1" min="7" max="7"/>
    <col width="22" customWidth="1" min="8" max="8"/>
    <col width="17" customWidth="1" min="9" max="9"/>
    <col width="25" customWidth="1" min="10" max="10"/>
    <col width="17" customWidth="1" min="11" max="11"/>
  </cols>
  <sheetData>
    <row r="2">
      <c r="B2" s="1" t="inlineStr">
        <is>
          <t>SIMULADOR COMERCIAL &amp; PROPUESTA DE ARRANQUE (PILOTO 10 PRODUCTOS)</t>
        </is>
      </c>
    </row>
    <row r="3">
      <c r="B3" s="2" t="inlineStr">
        <is>
          <t>Móveis Henn (Brasil) &amp; Mario Mojica (3dBimFab) • Modelo de Co-Innovación</t>
        </is>
      </c>
    </row>
    <row r="5">
      <c r="B5" s="3" t="inlineStr">
        <is>
          <t>1. PARÁMETROS BASE DE INGENIERÍA &amp; TARIFAS</t>
        </is>
      </c>
    </row>
    <row r="6">
      <c r="B6" t="inlineStr">
        <is>
          <t>Salario Mensual Referencia (COP):</t>
        </is>
      </c>
      <c r="D6" s="4" t="n">
        <v>20000000</v>
      </c>
      <c r="E6" t="inlineStr">
        <is>
          <t>COP / mes</t>
        </is>
      </c>
    </row>
    <row r="7">
      <c r="B7" t="inlineStr">
        <is>
          <t>Días Laborales Base / Mes:</t>
        </is>
      </c>
      <c r="D7" s="5" t="n">
        <v>30</v>
      </c>
      <c r="E7" t="inlineStr">
        <is>
          <t>días</t>
        </is>
      </c>
    </row>
    <row r="8">
      <c r="B8" t="inlineStr">
        <is>
          <t>Valor Día de Ingeniería Senior:</t>
        </is>
      </c>
      <c r="D8" s="6">
        <f>D6/D7</f>
        <v/>
      </c>
      <c r="E8" t="inlineStr">
        <is>
          <t>COP / día ($ 666.667)</t>
        </is>
      </c>
    </row>
    <row r="9">
      <c r="B9" t="inlineStr">
        <is>
          <t>TRM Dólar (COP / USD):</t>
        </is>
      </c>
      <c r="D9" s="4" t="n">
        <v>3300</v>
      </c>
      <c r="E9" t="inlineStr">
        <is>
          <t>COP por 1 USD</t>
        </is>
      </c>
    </row>
    <row r="10">
      <c r="B10" t="inlineStr">
        <is>
          <t>Tasa de Cambio Real (BRL / USD):</t>
        </is>
      </c>
      <c r="D10" s="7" t="n">
        <v>5.14</v>
      </c>
      <c r="E10" t="inlineStr">
        <is>
          <t>BRL por 1 USD</t>
        </is>
      </c>
    </row>
    <row r="11">
      <c r="B11" t="inlineStr">
        <is>
          <t>Tasa Directa COP / BRL:</t>
        </is>
      </c>
      <c r="D11" s="8">
        <f>D9/D10</f>
        <v/>
      </c>
      <c r="E11" t="inlineStr">
        <is>
          <t>COP por 1 BRL (~$ 642 COP)</t>
        </is>
      </c>
    </row>
    <row r="12">
      <c r="B12" t="inlineStr">
        <is>
          <t>% Descuento Promocional en Manual 3D:</t>
        </is>
      </c>
      <c r="D12" s="9" t="n">
        <v>0.5</v>
      </c>
      <c r="E12" t="inlineStr">
        <is>
          <t>Descuento especial paquete piloto</t>
        </is>
      </c>
    </row>
    <row r="14">
      <c r="B14" s="3" t="inlineStr">
        <is>
          <t>2. MATRIZ DE DESARROLLO, CARGUE A 3dBimFab Y COSTOS POR CATEGORÍA</t>
        </is>
      </c>
    </row>
    <row r="15">
      <c r="B15" s="10" t="inlineStr">
        <is>
          <t>Tipo de Mueble</t>
        </is>
      </c>
      <c r="C15" s="10" t="inlineStr">
        <is>
          <t>Rango Piezas</t>
        </is>
      </c>
      <c r="D15" s="10" t="inlineStr">
        <is>
          <t>Días 3BF</t>
        </is>
      </c>
      <c r="E15" s="10" t="inlineStr">
        <is>
          <t>Bloque Inteligente (Valor Real)</t>
        </is>
      </c>
      <c r="F15" s="10" t="inlineStr">
        <is>
          <t>Días Manual</t>
        </is>
      </c>
      <c r="G15" s="10" t="inlineStr">
        <is>
          <t>Manual 50% (Piloto)</t>
        </is>
      </c>
      <c r="H15" s="10" t="inlineStr">
        <is>
          <t>Costo Henn Actual</t>
        </is>
      </c>
      <c r="I15" s="10" t="inlineStr">
        <is>
          <t>Vr Henn (-30%)</t>
        </is>
      </c>
      <c r="J15" s="10" t="inlineStr">
        <is>
          <t>Ahorro vs Costo Actual</t>
        </is>
      </c>
      <c r="K15" s="10" t="inlineStr">
        <is>
          <t>% Ahorro Real</t>
        </is>
      </c>
    </row>
    <row r="16">
      <c r="B16" s="11" t="inlineStr">
        <is>
          <t>Mueble Pequeño</t>
        </is>
      </c>
      <c r="C16" s="12" t="inlineStr">
        <is>
          <t>Máximo 10</t>
        </is>
      </c>
      <c r="D16" s="12" t="n">
        <v>3</v>
      </c>
      <c r="E16" s="13">
        <f>D16*</f>
        <v/>
      </c>
      <c r="F16" s="12" t="n">
        <v>0.5</v>
      </c>
      <c r="G16" s="14">
        <f>F16*</f>
        <v/>
      </c>
      <c r="H16" s="13" t="n">
        <v>730733</v>
      </c>
      <c r="I16" s="13" t="n">
        <v>511513</v>
      </c>
      <c r="J16" s="14">
        <f>H16-G16</f>
        <v/>
      </c>
      <c r="K16" s="15">
        <f>(H16-G16)/H16</f>
        <v/>
      </c>
    </row>
    <row r="17">
      <c r="B17" s="11" t="inlineStr">
        <is>
          <t>Mueble Mediano</t>
        </is>
      </c>
      <c r="C17" s="12" t="inlineStr">
        <is>
          <t>Entre 11 a 24</t>
        </is>
      </c>
      <c r="D17" s="12" t="n">
        <v>5</v>
      </c>
      <c r="E17" s="13">
        <f>D17*</f>
        <v/>
      </c>
      <c r="F17" s="12" t="n">
        <v>0.8</v>
      </c>
      <c r="G17" s="14">
        <f>F17*</f>
        <v/>
      </c>
      <c r="H17" s="13" t="n">
        <v>1124204</v>
      </c>
      <c r="I17" s="13" t="n">
        <v>786943</v>
      </c>
      <c r="J17" s="14">
        <f>H17-G17</f>
        <v/>
      </c>
      <c r="K17" s="15">
        <f>(H17-G17)/H17</f>
        <v/>
      </c>
    </row>
    <row r="18">
      <c r="B18" s="11" t="inlineStr">
        <is>
          <t>Mueble Grande</t>
        </is>
      </c>
      <c r="C18" s="12" t="inlineStr">
        <is>
          <t>Entre 25 y 40</t>
        </is>
      </c>
      <c r="D18" s="12" t="n">
        <v>8</v>
      </c>
      <c r="E18" s="13">
        <f>D18*</f>
        <v/>
      </c>
      <c r="F18" s="12" t="n">
        <v>1.1</v>
      </c>
      <c r="G18" s="14">
        <f>F18*</f>
        <v/>
      </c>
      <c r="H18" s="13" t="n">
        <v>1517676</v>
      </c>
      <c r="I18" s="13" t="n">
        <v>1062373</v>
      </c>
      <c r="J18" s="14">
        <f>H18-G18</f>
        <v/>
      </c>
      <c r="K18" s="15">
        <f>(H18-G18)/H18</f>
        <v/>
      </c>
    </row>
    <row r="21">
      <c r="B21" s="3" t="inlineStr">
        <is>
          <t>3. SIMULADOR DEL PAQUETE PILOTO DE 10 MUEBLES (DISTRIBUCIÓN REAL)</t>
        </is>
      </c>
    </row>
    <row r="22">
      <c r="B22" s="16" t="inlineStr">
        <is>
          <t>Categoría Mueble</t>
        </is>
      </c>
      <c r="C22" s="16" t="inlineStr">
        <is>
          <t>Cant. Muebles</t>
        </is>
      </c>
      <c r="D22" s="16" t="inlineStr">
        <is>
          <t>Tarifa Manual Unit. (COP)</t>
        </is>
      </c>
      <c r="E22" s="16" t="inlineStr">
        <is>
          <t>Subtotal Manuales (COP)</t>
        </is>
      </c>
      <c r="F22" s="16" t="inlineStr">
        <is>
          <t>Valor 3BF Bonificado (100% OFF)</t>
        </is>
      </c>
      <c r="G22" s="16" t="inlineStr">
        <is>
          <t>Equivalente USD</t>
        </is>
      </c>
      <c r="H22" s="16" t="inlineStr">
        <is>
          <t>Equivalente BRL</t>
        </is>
      </c>
    </row>
    <row r="23">
      <c r="B23" t="inlineStr">
        <is>
          <t>Muebles Pequeños (≤10 piezas)</t>
        </is>
      </c>
      <c r="C23" s="17" t="n">
        <v>2</v>
      </c>
      <c r="D23" s="13">
        <f>G16</f>
        <v/>
      </c>
      <c r="E23" s="18">
        <f>C23*D23</f>
        <v/>
      </c>
      <c r="F23" s="19">
        <f>C23*E16</f>
        <v/>
      </c>
      <c r="G23" s="20">
        <f>E23/</f>
        <v/>
      </c>
      <c r="H23" s="21">
        <f>E23/</f>
        <v/>
      </c>
    </row>
    <row r="24">
      <c r="B24" t="inlineStr">
        <is>
          <t>Muebles Medianos (11-24 piezas)</t>
        </is>
      </c>
      <c r="C24" s="17" t="n">
        <v>6</v>
      </c>
      <c r="D24" s="13">
        <f>G17</f>
        <v/>
      </c>
      <c r="E24" s="18">
        <f>C24*D24</f>
        <v/>
      </c>
      <c r="F24" s="19">
        <f>C24*E17</f>
        <v/>
      </c>
      <c r="G24" s="20">
        <f>E24/</f>
        <v/>
      </c>
      <c r="H24" s="21">
        <f>E24/</f>
        <v/>
      </c>
    </row>
    <row r="25">
      <c r="B25" t="inlineStr">
        <is>
          <t>Muebles Grandes (25-40 piezas)</t>
        </is>
      </c>
      <c r="C25" s="17" t="n">
        <v>2</v>
      </c>
      <c r="D25" s="13">
        <f>G18</f>
        <v/>
      </c>
      <c r="E25" s="18">
        <f>C25*D25</f>
        <v/>
      </c>
      <c r="F25" s="19">
        <f>C25*E18</f>
        <v/>
      </c>
      <c r="G25" s="20">
        <f>E25/</f>
        <v/>
      </c>
      <c r="H25" s="21">
        <f>E25/</f>
        <v/>
      </c>
    </row>
    <row r="26">
      <c r="B26" s="22" t="inlineStr">
        <is>
          <t>TOTAL PAQUETE PILOTO</t>
        </is>
      </c>
      <c r="C26" s="23">
        <f>SUM(C23:C25)</f>
        <v/>
      </c>
      <c r="E26" s="24">
        <f>SUM(E23:E25)</f>
        <v/>
      </c>
      <c r="F26" s="25">
        <f>SUM(F23:F25)</f>
        <v/>
      </c>
      <c r="G26" s="26">
        <f>SUM(G23:G25)</f>
        <v/>
      </c>
      <c r="H26" s="27">
        <f>SUM(H23:H25)</f>
        <v/>
      </c>
    </row>
    <row r="29">
      <c r="B29" s="3" t="inlineStr">
        <is>
          <t>4. ESQUEMA DE CONDICIONES COMERCIALES Y HITOS DE PAGO</t>
        </is>
      </c>
    </row>
    <row r="30">
      <c r="B30" t="inlineStr">
        <is>
          <t>Hito 1: Anticipo de Arranque (20%):</t>
        </is>
      </c>
      <c r="D30" s="28">
        <f>E26*0.20</f>
        <v/>
      </c>
      <c r="E30" t="inlineStr">
        <is>
          <t>A la firma de la orden de trabajo para inicio inmediato</t>
        </is>
      </c>
    </row>
    <row r="31">
      <c r="B31" t="inlineStr">
        <is>
          <t>Hito 2: Saldo Final contra Entrega a Satisfacción (80%):</t>
        </is>
      </c>
      <c r="D31" s="14">
        <f>E26*0.80</f>
        <v/>
      </c>
      <c r="E31" t="inlineStr">
        <is>
          <t>A la entrega y validación de los 10 manuales en 30 días</t>
        </is>
      </c>
    </row>
    <row r="32">
      <c r="B32" t="inlineStr">
        <is>
          <t>Valor Total Aportado / Bonificado por Mario en 3BF:</t>
        </is>
      </c>
      <c r="D32" s="14">
        <f>F26</f>
        <v/>
      </c>
      <c r="E32" t="inlineStr">
        <is>
          <t>100% Bonificado ( COP para Henn en el piloto)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3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8" customWidth="1" min="2" max="2"/>
    <col width="18" customWidth="1" min="3" max="3"/>
    <col width="26" customWidth="1" min="4" max="4"/>
    <col width="24" customWidth="1" min="5" max="5"/>
    <col width="26" customWidth="1" min="6" max="6"/>
    <col width="40" customWidth="1" min="7" max="7"/>
    <col width="8.710000000000001" customWidth="1" min="8" max="8"/>
  </cols>
  <sheetData>
    <row r="2">
      <c r="B2" s="29" t="inlineStr">
        <is>
          <t>Simulador da Operação Anual de P&amp;D | Móveis Henn</t>
        </is>
      </c>
    </row>
    <row r="4">
      <c r="B4" s="30" t="inlineStr">
        <is>
          <t>Modelagem de Custos de Manuais de Montagem e Automação 3D | Proposta Mario Mojica (Reais BRL)</t>
        </is>
      </c>
    </row>
    <row r="5">
      <c r="B5" s="31" t="inlineStr">
        <is>
          <t>MOEDA BASE DO CLIENTE:</t>
        </is>
      </c>
      <c r="D5" s="32" t="inlineStr">
        <is>
          <t>Reais (BRL - R$)</t>
        </is>
      </c>
      <c r="E5" s="33" t="inlineStr">
        <is>
          <t>Padrão de referência financeira para o mercado do Brasil</t>
        </is>
      </c>
    </row>
    <row r="6">
      <c r="B6" s="34" t="inlineStr">
        <is>
          <t>CUSTO OPERAÇÃO HENN ATUAL</t>
        </is>
      </c>
      <c r="D6" s="35" t="inlineStr">
        <is>
          <t>PROPOSTA MARIO MOJICA (-30%)</t>
        </is>
      </c>
      <c r="F6" s="36" t="inlineStr">
        <is>
          <t>ECONOMIA LÍQUIDA PARA A HENN</t>
        </is>
      </c>
    </row>
    <row r="7">
      <c r="B7" s="37">
        <f>D18</f>
        <v/>
      </c>
      <c r="D7" s="38">
        <f>B7*(1-D22)</f>
        <v/>
      </c>
      <c r="F7" s="39">
        <f>B7-D7</f>
        <v/>
      </c>
    </row>
    <row r="8">
      <c r="B8" s="40">
        <f>"Média: " &amp; TEXT(B7/D11, "R$ #,##0.00") &amp; " / manual"</f>
        <v/>
      </c>
      <c r="D8" s="41">
        <f>"Média: " &amp; TEXT(D7/D11, "R$ #,##0.00") &amp; " / manual"</f>
        <v/>
      </c>
      <c r="F8" s="42">
        <f>"Economia: " &amp; TEXT(F7/D11, "+R$ #,##0.00") &amp; " / manual"</f>
        <v/>
      </c>
    </row>
    <row r="10">
      <c r="B10" s="43" t="inlineStr">
        <is>
          <t>1. Parâmetros da Operação Atual da Henn (Células Azuis Editáveis)</t>
        </is>
      </c>
    </row>
    <row r="11">
      <c r="B11" s="44" t="inlineStr">
        <is>
          <t>Total de Manuais / Lançamentos ao Ano:</t>
        </is>
      </c>
      <c r="D11" s="45" t="n">
        <v>80</v>
      </c>
      <c r="E11" s="33" t="inlineStr">
        <is>
          <t>manuais/ano</t>
        </is>
      </c>
      <c r="F11" s="33" t="inlineStr">
        <is>
          <t>Frequência estimada: ~16,7 manuais/mês</t>
        </is>
      </c>
    </row>
    <row r="12">
      <c r="B12" s="44" t="inlineStr">
        <is>
          <t>Profissionais em P&amp;D dedicados a manuais:</t>
        </is>
      </c>
      <c r="D12" s="46" t="n">
        <v>2</v>
      </c>
      <c r="E12" s="33" t="inlineStr">
        <is>
          <t>projetistas</t>
        </is>
      </c>
      <c r="F12" s="33" t="inlineStr">
        <is>
          <t>Equipe técnica em fábrica</t>
        </is>
      </c>
    </row>
    <row r="13">
      <c r="B13" s="44" t="inlineStr">
        <is>
          <t>Salário Médio CLT + Encargos Sociais:</t>
        </is>
      </c>
      <c r="D13" s="47" t="n">
        <v>6000</v>
      </c>
      <c r="E13" s="33" t="inlineStr">
        <is>
          <t>R$/mês/pessoa</t>
        </is>
      </c>
      <c r="F13" s="33" t="inlineStr">
        <is>
          <t>Custo empresa mensal por projetista</t>
        </is>
      </c>
    </row>
    <row r="14">
      <c r="B14" s="44" t="inlineStr">
        <is>
          <t>Licença SketchUp Pro / Studio (Anual/pessoa):</t>
        </is>
      </c>
      <c r="D14" s="47" t="n">
        <v>1200</v>
      </c>
      <c r="E14" s="33" t="inlineStr">
        <is>
          <t>R$/ano</t>
        </is>
      </c>
      <c r="F14" s="33" t="inlineStr">
        <is>
          <t>Licença anual de modelagem 3D</t>
        </is>
      </c>
    </row>
    <row r="15">
      <c r="B15" s="44" t="inlineStr">
        <is>
          <t>Licença Adobe InDesign / CC (Anual/pessoa):</t>
        </is>
      </c>
      <c r="D15" s="47" t="n">
        <v>1800</v>
      </c>
      <c r="E15" s="33" t="inlineStr">
        <is>
          <t>R$/ano</t>
        </is>
      </c>
      <c r="F15" s="33" t="inlineStr">
        <is>
          <t>Licença anual de diagramação 2D</t>
        </is>
      </c>
    </row>
    <row r="16">
      <c r="B16" s="44" t="inlineStr">
        <is>
          <t>Horas de Suporte P&amp;D / SAC por mês (dúvidas montagem):</t>
        </is>
      </c>
      <c r="D16" s="45" t="n">
        <v>10</v>
      </c>
      <c r="E16" s="33" t="inlineStr">
        <is>
          <t>horas/mês</t>
        </is>
      </c>
      <c r="F16" s="33" t="inlineStr">
        <is>
          <t>Tempo de engenharia atendendo montadores</t>
        </is>
      </c>
    </row>
    <row r="18">
      <c r="B18" s="48" t="inlineStr">
        <is>
          <t>TOTAL CUSTO ANUAL DA OPERAÇÃO HENN:</t>
        </is>
      </c>
      <c r="C18" s="49" t="inlineStr">
        <is>
          <t>(Folha + Licenças + Custo SAC)</t>
        </is>
      </c>
      <c r="D18" s="50">
        <f>(D12*D13*12) + (D12*(D14+D15)) + (D16*12*(D13/176))</f>
        <v/>
      </c>
      <c r="E18" s="50">
        <f>D18</f>
        <v/>
      </c>
      <c r="F18" s="51">
        <f>"Custo atual por manual: " &amp; TEXT(D18/D11, "R$ #,##0.00")</f>
        <v/>
      </c>
    </row>
    <row r="20">
      <c r="B20" s="43" t="inlineStr">
        <is>
          <t>2. Cenários de Economia Propostos por Mario Mojica</t>
        </is>
      </c>
    </row>
    <row r="22">
      <c r="B22" s="52" t="inlineStr">
        <is>
          <t>Percentual de Redução Selecionado:</t>
        </is>
      </c>
      <c r="D22" s="53" t="n">
        <v>0.3</v>
      </c>
      <c r="E22" s="33" t="inlineStr">
        <is>
          <t>← Pode alterar este percentual (ex: 10%, 20%, 30%, 40%, 50%)</t>
        </is>
      </c>
    </row>
    <row r="24">
      <c r="B24" s="54" t="inlineStr">
        <is>
          <t>Cenário</t>
        </is>
      </c>
      <c r="C24" s="54" t="inlineStr">
        <is>
          <t>% Economia</t>
        </is>
      </c>
      <c r="D24" s="54" t="inlineStr">
        <is>
          <t>Proposta Mario (Ano)</t>
        </is>
      </c>
      <c r="E24" s="55" t="inlineStr">
        <is>
          <t>Custo / Manual</t>
        </is>
      </c>
      <c r="F24" s="54" t="inlineStr">
        <is>
          <t>Economia Líquida Henn (Ano)</t>
        </is>
      </c>
      <c r="G24" s="54" t="inlineStr">
        <is>
          <t>Economia / Manual</t>
        </is>
      </c>
    </row>
    <row r="25">
      <c r="B25" s="56" t="inlineStr">
        <is>
          <t>Conservador</t>
        </is>
      </c>
      <c r="C25" s="57" t="n">
        <v>0.1</v>
      </c>
      <c r="D25" s="58">
        <f>$D$18*(1-C25)</f>
        <v/>
      </c>
      <c r="E25" s="58">
        <f>D25/$D$11</f>
        <v/>
      </c>
      <c r="F25" s="58">
        <f>$D$18-D25</f>
        <v/>
      </c>
      <c r="G25" s="58">
        <f>F25/$D$11</f>
        <v/>
      </c>
    </row>
    <row r="26">
      <c r="B26" s="56" t="inlineStr">
        <is>
          <t>Moderado</t>
        </is>
      </c>
      <c r="C26" s="57" t="n">
        <v>0.2</v>
      </c>
      <c r="D26" s="58">
        <f>$D$18*(1-C26)</f>
        <v/>
      </c>
      <c r="E26" s="58">
        <f>D26/$D$11</f>
        <v/>
      </c>
      <c r="F26" s="58">
        <f>$D$18-D26</f>
        <v/>
      </c>
      <c r="G26" s="58">
        <f>F26/$D$11</f>
        <v/>
      </c>
    </row>
    <row r="27">
      <c r="B27" s="59" t="inlineStr">
        <is>
          <t>Recomendado (Padrão Mario)</t>
        </is>
      </c>
      <c r="C27" s="60" t="n">
        <v>0.3</v>
      </c>
      <c r="D27" s="61">
        <f>$D$18*(1-C27)</f>
        <v/>
      </c>
      <c r="E27" s="61">
        <f>D27/$D$11</f>
        <v/>
      </c>
      <c r="F27" s="61">
        <f>$D$18-D27</f>
        <v/>
      </c>
      <c r="G27" s="61">
        <f>F27/$D$11</f>
        <v/>
      </c>
    </row>
    <row r="28">
      <c r="B28" s="56" t="inlineStr">
        <is>
          <t>Otimizado</t>
        </is>
      </c>
      <c r="C28" s="57" t="n">
        <v>0.4</v>
      </c>
      <c r="D28" s="58">
        <f>$D$18*(1-C28)</f>
        <v/>
      </c>
      <c r="E28" s="58">
        <f>D28/$D$11</f>
        <v/>
      </c>
      <c r="F28" s="58">
        <f>$D$18-D28</f>
        <v/>
      </c>
      <c r="G28" s="58">
        <f>F28/$D$11</f>
        <v/>
      </c>
    </row>
    <row r="29">
      <c r="B29" s="56" t="inlineStr">
        <is>
          <t>Agressivo (Escala Máxima)</t>
        </is>
      </c>
      <c r="C29" s="57" t="n">
        <v>0.5</v>
      </c>
      <c r="D29" s="58">
        <f>$D$18*(1-C29)</f>
        <v/>
      </c>
      <c r="E29" s="58">
        <f>D29/$D$11</f>
        <v/>
      </c>
      <c r="F29" s="58">
        <f>$D$18-D29</f>
        <v/>
      </c>
      <c r="G29" s="58">
        <f>F29/$D$11</f>
        <v/>
      </c>
    </row>
    <row r="31">
      <c r="B31" s="43" t="inlineStr">
        <is>
          <t>3. Detalhamento por Faixa de Peças e Complexidade de Produto RTA</t>
        </is>
      </c>
    </row>
    <row r="33">
      <c r="B33" s="54" t="inlineStr">
        <is>
          <t>Faixa de Peças / Categoria</t>
        </is>
      </c>
      <c r="C33" s="54" t="inlineStr">
        <is>
          <t>Fator Ponderado</t>
        </is>
      </c>
      <c r="D33" s="54" t="inlineStr">
        <is>
          <t>Custo Interno Henn</t>
        </is>
      </c>
      <c r="E33" s="55" t="inlineStr">
        <is>
          <t>Proposta Mario (-30%)</t>
        </is>
      </c>
      <c r="F33" s="54" t="inlineStr">
        <is>
          <t>Economia Unitária</t>
        </is>
      </c>
      <c r="G33" s="54" t="inlineStr">
        <is>
          <t>Exemplo de Produtos Henn</t>
        </is>
      </c>
    </row>
    <row r="34">
      <c r="B34" s="56" t="inlineStr">
        <is>
          <t>Pequeno: Até 10 peças (~1 dia / Simples)</t>
        </is>
      </c>
      <c r="C34" s="62" t="n">
        <v>0.65</v>
      </c>
      <c r="D34" s="58">
        <f>C34 * ($D$18 / $D$11)</f>
        <v/>
      </c>
      <c r="E34" s="63">
        <f>C34 * ($D$7 / $D$11)</f>
        <v/>
      </c>
      <c r="F34" s="63">
        <f>D34 - E34</f>
        <v/>
      </c>
      <c r="G34" s="33" t="inlineStr">
        <is>
          <t>Criado-Mudo, Nichos, Painel Simples</t>
        </is>
      </c>
    </row>
    <row r="35">
      <c r="B35" s="59" t="inlineStr">
        <is>
          <t>Médio: 11 a 24 peças (~1,5 dias / Média Henn ~20 peças)</t>
        </is>
      </c>
      <c r="C35" s="64" t="n">
        <v>1</v>
      </c>
      <c r="D35" s="61">
        <f>C35 * ($D$18 / $D$11)</f>
        <v/>
      </c>
      <c r="E35" s="61">
        <f>C35 * ($D$7 / $D$11)</f>
        <v/>
      </c>
      <c r="F35" s="61">
        <f>D35 - E35</f>
        <v/>
      </c>
      <c r="G35" s="65" t="inlineStr">
        <is>
          <t>Rack TV, Buffet, Cômoda 4 Gavetas</t>
        </is>
      </c>
    </row>
    <row r="36">
      <c r="B36" s="56" t="inlineStr">
        <is>
          <t>Grande / Complexo: 25 a 40 peças (~2 dias / Multimódulo)</t>
        </is>
      </c>
      <c r="C36" s="62" t="n">
        <v>1.35</v>
      </c>
      <c r="D36" s="58">
        <f>C36 * ($D$18 / $D$11)</f>
        <v/>
      </c>
      <c r="E36" s="63">
        <f>C36 * ($D$7 / $D$11)</f>
        <v/>
      </c>
      <c r="F36" s="63">
        <f>D36 - E36</f>
        <v/>
      </c>
      <c r="G36" s="33" t="inlineStr">
        <is>
          <t>Guarda-Roupa 6 Portas, Cozinha Modulada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3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8" customWidth="1" min="2" max="2"/>
    <col width="18" customWidth="1" min="3" max="3"/>
    <col width="26" customWidth="1" min="4" max="4"/>
    <col width="24" customWidth="1" min="5" max="5"/>
    <col width="26" customWidth="1" min="6" max="6"/>
    <col width="40" customWidth="1" min="7" max="7"/>
    <col width="8.710000000000001" customWidth="1" min="8" max="8"/>
  </cols>
  <sheetData>
    <row r="2">
      <c r="B2" s="29" t="inlineStr">
        <is>
          <t>Cotizador Internacional de P&amp;D | Móveis Henn (En Dólares USD)</t>
        </is>
      </c>
    </row>
    <row r="4">
      <c r="B4" s="30" t="inlineStr">
        <is>
          <t>Moneda de Negociación y Facturación Internacional B2B (Convertido desde Reais vía TRM BRL ➔ USD)</t>
        </is>
      </c>
    </row>
    <row r="5">
      <c r="B5" s="66" t="inlineStr">
        <is>
          <t>TASA DE CAMBIO TRM (BRL por 1 USD):</t>
        </is>
      </c>
      <c r="D5" s="67" t="n">
        <v>5.14</v>
      </c>
      <c r="E5" s="33" t="inlineStr">
        <is>
          <t>← Edita aquí la TRM BRL / USD según la tasa del mercado</t>
        </is>
      </c>
    </row>
    <row r="6">
      <c r="B6" s="34" t="inlineStr">
        <is>
          <t>COSTO OPERACIÓN HENN ACTUAL (USD)</t>
        </is>
      </c>
      <c r="D6" s="35" t="inlineStr">
        <is>
          <t>PROPUESTA MARIO MOJICA (-30% USD)</t>
        </is>
      </c>
      <c r="F6" s="36" t="inlineStr">
        <is>
          <t>AHORRO NETO PARA HENN (USD)</t>
        </is>
      </c>
    </row>
    <row r="7">
      <c r="B7" s="68">
        <f>D18</f>
        <v/>
      </c>
      <c r="D7" s="69">
        <f>B7*(1-D22)</f>
        <v/>
      </c>
      <c r="F7" s="70">
        <f>B7-D7</f>
        <v/>
      </c>
    </row>
    <row r="8">
      <c r="B8" s="40">
        <f>"Promedio: " &amp; TEXT(B7/D11, "$ #,##0.00") &amp; " / manual"</f>
        <v/>
      </c>
      <c r="D8" s="41">
        <f>"Promedio: " &amp; TEXT(D7/D11, "$ #,##0.00") &amp; " / manual"</f>
        <v/>
      </c>
      <c r="F8" s="42">
        <f>"Ahorro: " &amp; TEXT(F7/D11, "+$ #,##0.00") &amp; " / manual"</f>
        <v/>
      </c>
    </row>
    <row r="10">
      <c r="B10" s="43" t="inlineStr">
        <is>
          <t>1. Parámetros de la Operación Convertidos a Dólares (USD)</t>
        </is>
      </c>
    </row>
    <row r="11">
      <c r="B11" s="44" t="inlineStr">
        <is>
          <t>Total Manuales / Lanzamientos al Año:</t>
        </is>
      </c>
      <c r="D11" s="71">
        <f>'1. Cotizador Henn (BRL)'!D11</f>
        <v/>
      </c>
      <c r="E11" s="33" t="inlineStr">
        <is>
          <t>manuales/año</t>
        </is>
      </c>
      <c r="F11" s="33" t="inlineStr">
        <is>
          <t>Sincronizado de celda D11 pestaña BRL</t>
        </is>
      </c>
    </row>
    <row r="12">
      <c r="B12" s="44" t="inlineStr">
        <is>
          <t>Personas en P&amp;D dedicadas a manuales:</t>
        </is>
      </c>
      <c r="D12" s="72">
        <f>'1. Cotizador Henn (BRL)'!D12</f>
        <v/>
      </c>
      <c r="E12" s="33" t="inlineStr">
        <is>
          <t>diseñadores</t>
        </is>
      </c>
      <c r="F12" s="33" t="inlineStr">
        <is>
          <t>Sincronizado de celda D12 pestaña BRL</t>
        </is>
      </c>
    </row>
    <row r="13">
      <c r="B13" s="44" t="inlineStr">
        <is>
          <t>Salario Promedio CLT + Cargas Sociales (USD):</t>
        </is>
      </c>
      <c r="D13" s="73">
        <f>'1. Cotizador Henn (BRL)'!D13 / $D$5</f>
        <v/>
      </c>
      <c r="E13" s="33" t="inlineStr">
        <is>
          <t>USD/mes/persona</t>
        </is>
      </c>
      <c r="F13" s="33" t="inlineStr">
        <is>
          <t>Convertido vía TRM BRL ➔ USD</t>
        </is>
      </c>
    </row>
    <row r="14">
      <c r="B14" s="44" t="inlineStr">
        <is>
          <t>Licencia SketchUp Pro / Studio (Anual USD):</t>
        </is>
      </c>
      <c r="D14" s="73">
        <f>'1. Cotizador Henn (BRL)'!D14 / $D$5</f>
        <v/>
      </c>
      <c r="E14" s="33" t="inlineStr">
        <is>
          <t>USD/año</t>
        </is>
      </c>
      <c r="F14" s="33" t="inlineStr">
        <is>
          <t>Convertido vía TRM BRL ➔ USD</t>
        </is>
      </c>
    </row>
    <row r="15">
      <c r="B15" s="44" t="inlineStr">
        <is>
          <t>Licencia Adobe InDesign / CC (Anual USD):</t>
        </is>
      </c>
      <c r="D15" s="73">
        <f>'1. Cotizador Henn (BRL)'!D15 / $D$5</f>
        <v/>
      </c>
      <c r="E15" s="33" t="inlineStr">
        <is>
          <t>USD/año</t>
        </is>
      </c>
      <c r="F15" s="33" t="inlineStr">
        <is>
          <t>Convertido vía TRM BRL ➔ USD</t>
        </is>
      </c>
    </row>
    <row r="16">
      <c r="B16" s="44" t="inlineStr">
        <is>
          <t>Horas de Soporte P&amp;D / SAC al mes por dudas:</t>
        </is>
      </c>
      <c r="D16" s="71">
        <f>'1. Cotizador Henn (BRL)'!D16</f>
        <v/>
      </c>
      <c r="E16" s="33" t="inlineStr">
        <is>
          <t>horas/mes</t>
        </is>
      </c>
      <c r="F16" s="33" t="inlineStr">
        <is>
          <t>Sincronizado de celda D16 pestaña BRL</t>
        </is>
      </c>
    </row>
    <row r="18">
      <c r="B18" s="48" t="inlineStr">
        <is>
          <t>TOTAL COSTO ANUAL OPERACIÓN HENN (USD):</t>
        </is>
      </c>
      <c r="C18" s="49" t="inlineStr">
        <is>
          <t>(Masa Salarial + Licencias + Costo SAC)</t>
        </is>
      </c>
      <c r="D18" s="74">
        <f>'1. Cotizador Henn (BRL)'!D18 / $D$5</f>
        <v/>
      </c>
      <c r="E18" s="74">
        <f>D18</f>
        <v/>
      </c>
      <c r="F18" s="51">
        <f>"Costo actual por manual: " &amp; TEXT(D18/D11, "$ #,##0.00")</f>
        <v/>
      </c>
    </row>
    <row r="20">
      <c r="B20" s="43" t="inlineStr">
        <is>
          <t>2. Escenarios de Ahorro y Propuesta en Dólares (USD)</t>
        </is>
      </c>
    </row>
    <row r="22">
      <c r="B22" s="52" t="inlineStr">
        <is>
          <t>Porcentaje de Reducción Seleccionado:</t>
        </is>
      </c>
      <c r="D22" s="75">
        <f>'1. Cotizador Henn (BRL)'!D22</f>
        <v/>
      </c>
      <c r="E22" s="33" t="inlineStr">
        <is>
          <t>Sincronizado con porcentaje de reducción seleccionado (D22)</t>
        </is>
      </c>
    </row>
    <row r="24">
      <c r="B24" s="54" t="inlineStr">
        <is>
          <t>Escenario Comercial</t>
        </is>
      </c>
      <c r="C24" s="54" t="inlineStr">
        <is>
          <t>% Ahorro</t>
        </is>
      </c>
      <c r="D24" s="54" t="inlineStr">
        <is>
          <t>Propuesta Mario (Año USD)</t>
        </is>
      </c>
      <c r="E24" s="54" t="inlineStr">
        <is>
          <t>Costo / Manual (USD)</t>
        </is>
      </c>
      <c r="F24" s="54" t="inlineStr">
        <is>
          <t>Ahorro Neto Henn (Año USD)</t>
        </is>
      </c>
      <c r="G24" s="54" t="inlineStr">
        <is>
          <t>Ahorro / Manual (USD)</t>
        </is>
      </c>
    </row>
    <row r="25">
      <c r="B25" s="56" t="inlineStr">
        <is>
          <t>Conservador (10%)</t>
        </is>
      </c>
      <c r="C25" s="57">
        <f>'1. Cotizador Henn (BRL)'!C25</f>
        <v/>
      </c>
      <c r="D25" s="76">
        <f>'1. Cotizador Henn (BRL)'!D25 / $D$5</f>
        <v/>
      </c>
      <c r="E25" s="76">
        <f>D25/$D$11</f>
        <v/>
      </c>
      <c r="F25" s="76">
        <f>'1. Cotizador Henn (BRL)'!F25 / $D$5</f>
        <v/>
      </c>
      <c r="G25" s="76">
        <f>F25/$D$11</f>
        <v/>
      </c>
    </row>
    <row r="26">
      <c r="B26" s="56" t="inlineStr">
        <is>
          <t>Moderado (20%)</t>
        </is>
      </c>
      <c r="C26" s="57">
        <f>'1. Cotizador Henn (BRL)'!C26</f>
        <v/>
      </c>
      <c r="D26" s="76">
        <f>'1. Cotizador Henn (BRL)'!D26 / $D$5</f>
        <v/>
      </c>
      <c r="E26" s="76">
        <f>D26/$D$11</f>
        <v/>
      </c>
      <c r="F26" s="76">
        <f>'1. Cotizador Henn (BRL)'!F26 / $D$5</f>
        <v/>
      </c>
      <c r="G26" s="76">
        <f>F26/$D$11</f>
        <v/>
      </c>
    </row>
    <row r="27">
      <c r="B27" s="77" t="inlineStr">
        <is>
          <t>⭐ Recomendado (30% - Estándar Mario)</t>
        </is>
      </c>
      <c r="C27" s="78">
        <f>'1. Cotizador Henn (BRL)'!C27</f>
        <v/>
      </c>
      <c r="D27" s="79">
        <f>'1. Cotizador Henn (BRL)'!D27 / $D$5</f>
        <v/>
      </c>
      <c r="E27" s="79">
        <f>D27/$D$11</f>
        <v/>
      </c>
      <c r="F27" s="79">
        <f>'1. Cotizador Henn (BRL)'!F27 / $D$5</f>
        <v/>
      </c>
      <c r="G27" s="79">
        <f>F27/$D$11</f>
        <v/>
      </c>
    </row>
    <row r="28">
      <c r="B28" s="56" t="inlineStr">
        <is>
          <t>Optimizado (40%)</t>
        </is>
      </c>
      <c r="C28" s="57">
        <f>'1. Cotizador Henn (BRL)'!C28</f>
        <v/>
      </c>
      <c r="D28" s="76">
        <f>'1. Cotizador Henn (BRL)'!D28 / $D$5</f>
        <v/>
      </c>
      <c r="E28" s="76">
        <f>D28/$D$11</f>
        <v/>
      </c>
      <c r="F28" s="76">
        <f>'1. Cotizador Henn (BRL)'!F28 / $D$5</f>
        <v/>
      </c>
      <c r="G28" s="76">
        <f>F28/$D$11</f>
        <v/>
      </c>
    </row>
    <row r="29">
      <c r="B29" s="56" t="inlineStr">
        <is>
          <t>Agresivo (50%)</t>
        </is>
      </c>
      <c r="C29" s="57">
        <f>'1. Cotizador Henn (BRL)'!C29</f>
        <v/>
      </c>
      <c r="D29" s="76">
        <f>'1. Cotizador Henn (BRL)'!D29 / $D$5</f>
        <v/>
      </c>
      <c r="E29" s="76">
        <f>D29/$D$11</f>
        <v/>
      </c>
      <c r="F29" s="76">
        <f>'1. Cotizador Henn (BRL)'!F29 / $D$5</f>
        <v/>
      </c>
      <c r="G29" s="76">
        <f>F29/$D$11</f>
        <v/>
      </c>
    </row>
    <row r="31">
      <c r="B31" s="43" t="inlineStr">
        <is>
          <t>3. Desglose por Rango de Piezas y Complejidad de Mueble RTA (En Dólares USD)</t>
        </is>
      </c>
    </row>
    <row r="33">
      <c r="B33" s="54" t="inlineStr">
        <is>
          <t>Rango de Piezas / Categoría</t>
        </is>
      </c>
      <c r="C33" s="54" t="inlineStr">
        <is>
          <t>Factor Ponderado</t>
        </is>
      </c>
      <c r="D33" s="54" t="inlineStr">
        <is>
          <t>Costo Interno Henn (USD)</t>
        </is>
      </c>
      <c r="E33" s="54" t="inlineStr">
        <is>
          <t>Propuesta Mario (USD)</t>
        </is>
      </c>
      <c r="F33" s="54" t="inlineStr">
        <is>
          <t>Ahorro Unitario (USD)</t>
        </is>
      </c>
      <c r="G33" s="54" t="inlineStr">
        <is>
          <t>Ejemplo de Productos Henn</t>
        </is>
      </c>
    </row>
    <row r="34">
      <c r="B34" s="56" t="inlineStr">
        <is>
          <t>Pequeño: Hasta 10 piezas (~1 día / Simple)</t>
        </is>
      </c>
      <c r="C34" s="62">
        <f>'1. Cotizador Henn (BRL)'!C34</f>
        <v/>
      </c>
      <c r="D34" s="76">
        <f>'1. Cotizador Henn (BRL)'!D34 / $D$5</f>
        <v/>
      </c>
      <c r="E34" s="73">
        <f>'1. Cotizador Henn (BRL)'!E34 / $D$5</f>
        <v/>
      </c>
      <c r="F34" s="73">
        <f>'1. Cotizador Henn (BRL)'!F34 / $D$5</f>
        <v/>
      </c>
      <c r="G34" s="33">
        <f>'1. Cotizador Henn (BRL)'!G34</f>
        <v/>
      </c>
    </row>
    <row r="35">
      <c r="B35" s="77" t="inlineStr">
        <is>
          <t>Mediano: 11 a 24 piezas (~1,5 días / Promedio Henn ~20 piezas)</t>
        </is>
      </c>
      <c r="C35" s="80">
        <f>'1. Cotizador Henn (BRL)'!C35</f>
        <v/>
      </c>
      <c r="D35" s="79">
        <f>'1. Cotizador Henn (BRL)'!D35 / $D$5</f>
        <v/>
      </c>
      <c r="E35" s="79">
        <f>'1. Cotizador Henn (BRL)'!E35 / $D$5</f>
        <v/>
      </c>
      <c r="F35" s="79">
        <f>'1. Cotizador Henn (BRL)'!F35 / $D$5</f>
        <v/>
      </c>
      <c r="G35" s="81">
        <f>'1. Cotizador Henn (BRL)'!G35</f>
        <v/>
      </c>
    </row>
    <row r="36">
      <c r="B36" s="56" t="inlineStr">
        <is>
          <t>Grande / Complejo: 25 a 40 piezas (~2 días / Multimódulo)</t>
        </is>
      </c>
      <c r="C36" s="62">
        <f>'1. Cotizador Henn (BRL)'!C36</f>
        <v/>
      </c>
      <c r="D36" s="76">
        <f>'1. Cotizador Henn (BRL)'!D36 / $D$5</f>
        <v/>
      </c>
      <c r="E36" s="73">
        <f>'1. Cotizador Henn (BRL)'!E36 / $D$5</f>
        <v/>
      </c>
      <c r="F36" s="73">
        <f>'1. Cotizador Henn (BRL)'!F36 / $D$5</f>
        <v/>
      </c>
      <c r="G36" s="33">
        <f>'1. Cotizador Henn (BRL)'!G36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3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8" customWidth="1" min="2" max="2"/>
    <col width="18" customWidth="1" min="3" max="3"/>
    <col width="26" customWidth="1" min="4" max="4"/>
    <col width="24" customWidth="1" min="5" max="5"/>
    <col width="26" customWidth="1" min="6" max="6"/>
    <col width="40" customWidth="1" min="7" max="7"/>
    <col width="8.710000000000001" customWidth="1" min="8" max="8"/>
  </cols>
  <sheetData>
    <row r="2">
      <c r="B2" s="29" t="inlineStr">
        <is>
          <t>Cotizador Nacional de P&amp;D | Móveis Henn (En Pesos Colombianos COP)</t>
        </is>
      </c>
    </row>
    <row r="4">
      <c r="B4" s="30" t="inlineStr">
        <is>
          <t>Conversión de Dólares (USD) a Pesos Colombianos (COP) vía Tasa Representativa del Mercado (TRM)</t>
        </is>
      </c>
    </row>
    <row r="5">
      <c r="B5" s="82" t="inlineStr">
        <is>
          <t>TASA DE CAMBIO TRM (COP por 1 USD):</t>
        </is>
      </c>
      <c r="D5" s="83" t="n">
        <v>3000</v>
      </c>
      <c r="E5" s="33" t="inlineStr">
        <is>
          <t>← Edita aquí la TRM COP / USD según la tasa del mercado</t>
        </is>
      </c>
    </row>
    <row r="6">
      <c r="B6" s="34" t="inlineStr">
        <is>
          <t>COSTO OPERACIÓN HENN ACTUAL (COP)</t>
        </is>
      </c>
      <c r="D6" s="35" t="inlineStr">
        <is>
          <t>PROPUESTA MARIO MOJICA (-30% COP)</t>
        </is>
      </c>
      <c r="F6" s="36" t="inlineStr">
        <is>
          <t>AHORRO NETO PARA HENN (COP)</t>
        </is>
      </c>
    </row>
    <row r="7">
      <c r="B7" s="84">
        <f>D18</f>
        <v/>
      </c>
      <c r="D7" s="85">
        <f>B7*(1-D22)</f>
        <v/>
      </c>
      <c r="F7" s="86">
        <f>B7-D7</f>
        <v/>
      </c>
    </row>
    <row r="8">
      <c r="B8" s="40">
        <f>"Promedio: " &amp; TEXT(B7/D11, "$ #,##0") &amp; " / manual"</f>
        <v/>
      </c>
      <c r="D8" s="41">
        <f>"Promedio: " &amp; TEXT(D7/D11, "$ #,##0") &amp; " / manual"</f>
        <v/>
      </c>
      <c r="F8" s="42">
        <f>"Ahorro: " &amp; TEXT(F7/D11, "+$ #,##0") &amp; " / manual"</f>
        <v/>
      </c>
    </row>
    <row r="10">
      <c r="B10" s="43" t="inlineStr">
        <is>
          <t>1. Parámetros de la Operación Convertidos a Pesos Colombianos (COP)</t>
        </is>
      </c>
    </row>
    <row r="11">
      <c r="B11" s="44" t="inlineStr">
        <is>
          <t>Total Manuales / Lanzamientos al Año:</t>
        </is>
      </c>
      <c r="D11" s="71">
        <f>'1. Cotizador Henn (BRL)'!D11</f>
        <v/>
      </c>
      <c r="E11" s="33" t="inlineStr">
        <is>
          <t>manuales/año</t>
        </is>
      </c>
      <c r="F11" s="33" t="inlineStr">
        <is>
          <t>Sincronizado de celda D11 pestaña BRL</t>
        </is>
      </c>
    </row>
    <row r="12">
      <c r="B12" s="44" t="inlineStr">
        <is>
          <t>Personas en P&amp;D dedicadas a manuales:</t>
        </is>
      </c>
      <c r="D12" s="72">
        <f>'1. Cotizador Henn (BRL)'!D12</f>
        <v/>
      </c>
      <c r="E12" s="33" t="inlineStr">
        <is>
          <t>diseñadores</t>
        </is>
      </c>
      <c r="F12" s="33" t="inlineStr">
        <is>
          <t>Sincronizado de celda D12 pestaña BRL</t>
        </is>
      </c>
    </row>
    <row r="13">
      <c r="B13" s="44" t="inlineStr">
        <is>
          <t>Salario Promedio CLT + Cargas Sociales (COP):</t>
        </is>
      </c>
      <c r="D13" s="87">
        <f>'2. Cotizador Henn (USD)'!D13 * $D$5</f>
        <v/>
      </c>
      <c r="E13" s="33" t="inlineStr">
        <is>
          <t>COP/mes/persona</t>
        </is>
      </c>
      <c r="F13" s="33" t="inlineStr">
        <is>
          <t>Convertido vía TRM USD ➔ COP</t>
        </is>
      </c>
    </row>
    <row r="14">
      <c r="B14" s="44" t="inlineStr">
        <is>
          <t>Licencia SketchUp Pro / Studio (Anual COP):</t>
        </is>
      </c>
      <c r="D14" s="87">
        <f>'2. Cotizador Henn (USD)'!D14 * $D$5</f>
        <v/>
      </c>
      <c r="E14" s="33" t="inlineStr">
        <is>
          <t>COP/año</t>
        </is>
      </c>
      <c r="F14" s="33" t="inlineStr">
        <is>
          <t>Convertido vía TRM USD ➔ COP</t>
        </is>
      </c>
    </row>
    <row r="15">
      <c r="B15" s="44" t="inlineStr">
        <is>
          <t>Licencia Adobe InDesign / CC (Anual COP):</t>
        </is>
      </c>
      <c r="D15" s="87">
        <f>'2. Cotizador Henn (USD)'!D15 * $D$5</f>
        <v/>
      </c>
      <c r="E15" s="33" t="inlineStr">
        <is>
          <t>COP/año</t>
        </is>
      </c>
      <c r="F15" s="33" t="inlineStr">
        <is>
          <t>Convertido vía TRM USD ➔ COP</t>
        </is>
      </c>
    </row>
    <row r="16">
      <c r="B16" s="44" t="inlineStr">
        <is>
          <t>Horas de Soporte P&amp;D / SAC al mes por dudas:</t>
        </is>
      </c>
      <c r="D16" s="71">
        <f>'1. Cotizador Henn (BRL)'!D16</f>
        <v/>
      </c>
      <c r="E16" s="33" t="inlineStr">
        <is>
          <t>horas/mes</t>
        </is>
      </c>
      <c r="F16" s="33" t="inlineStr">
        <is>
          <t>Sincronizado de celda D16 pestaña BRL</t>
        </is>
      </c>
    </row>
    <row r="18">
      <c r="B18" s="48" t="inlineStr">
        <is>
          <t>TOTAL COSTO ANUAL OPERACIÓN HENN (COP):</t>
        </is>
      </c>
      <c r="C18" s="49" t="inlineStr">
        <is>
          <t>(Masa Salarial + Licencias + Costo SAC)</t>
        </is>
      </c>
      <c r="D18" s="88">
        <f>'2. Cotizador Henn (USD)'!D18 * $D$5</f>
        <v/>
      </c>
      <c r="E18" s="88">
        <f>D18</f>
        <v/>
      </c>
      <c r="F18" s="51">
        <f>"Costo actual por manual: " &amp; TEXT(D18/D11, "$ #,##0")</f>
        <v/>
      </c>
    </row>
    <row r="20">
      <c r="B20" s="43" t="inlineStr">
        <is>
          <t>2. Escenarios de Ahorro y Propuesta en Pesos Colombianos (COP)</t>
        </is>
      </c>
    </row>
    <row r="22">
      <c r="B22" s="52" t="inlineStr">
        <is>
          <t>Porcentaje de Reducción Seleccionado:</t>
        </is>
      </c>
      <c r="D22" s="75" t="n">
        <v>0.5</v>
      </c>
      <c r="E22" s="33" t="inlineStr">
        <is>
          <t>Sincronizado con porcentaje de reducción seleccionado (D22)</t>
        </is>
      </c>
    </row>
    <row r="24">
      <c r="B24" s="54" t="inlineStr">
        <is>
          <t>Escenario Comercial</t>
        </is>
      </c>
      <c r="C24" s="54" t="inlineStr">
        <is>
          <t>% Ahorro</t>
        </is>
      </c>
      <c r="D24" s="54" t="inlineStr">
        <is>
          <t>Propuesta Mario (Año COP)</t>
        </is>
      </c>
      <c r="E24" s="55" t="inlineStr">
        <is>
          <t>Costo / Manual (COP)</t>
        </is>
      </c>
      <c r="F24" s="54" t="inlineStr">
        <is>
          <t>Ahorro Neto Henn (Año COP)</t>
        </is>
      </c>
      <c r="G24" s="54" t="inlineStr">
        <is>
          <t>Ahorro / Manual (COP)</t>
        </is>
      </c>
    </row>
    <row r="25">
      <c r="B25" s="56" t="inlineStr">
        <is>
          <t>Conservador (10%)</t>
        </is>
      </c>
      <c r="C25" s="57">
        <f>'1. Cotizador Henn (BRL)'!C25</f>
        <v/>
      </c>
      <c r="D25" s="89">
        <f>'2. Cotizador Henn (USD)'!D25 * $D$5</f>
        <v/>
      </c>
      <c r="E25" s="89">
        <f>D25/$D$11</f>
        <v/>
      </c>
      <c r="F25" s="89">
        <f>'2. Cotizador Henn (USD)'!F25 * $D$5</f>
        <v/>
      </c>
      <c r="G25" s="89">
        <f>F25/$D$11</f>
        <v/>
      </c>
    </row>
    <row r="26">
      <c r="B26" s="56" t="inlineStr">
        <is>
          <t>Moderado (20%)</t>
        </is>
      </c>
      <c r="C26" s="57">
        <f>'1. Cotizador Henn (BRL)'!C26</f>
        <v/>
      </c>
      <c r="D26" s="89">
        <f>'2. Cotizador Henn (USD)'!D26 * $D$5</f>
        <v/>
      </c>
      <c r="E26" s="89">
        <f>D26/$D$11</f>
        <v/>
      </c>
      <c r="F26" s="89">
        <f>'2. Cotizador Henn (USD)'!F26 * $D$5</f>
        <v/>
      </c>
      <c r="G26" s="89">
        <f>F26/$D$11</f>
        <v/>
      </c>
    </row>
    <row r="27">
      <c r="B27" s="90" t="inlineStr">
        <is>
          <t>⭐ Recomendado (30% - Estándar Mario)</t>
        </is>
      </c>
      <c r="C27" s="91">
        <f>'1. Cotizador Henn (BRL)'!C27</f>
        <v/>
      </c>
      <c r="D27" s="92">
        <f>'2. Cotizador Henn (USD)'!D27 * $D$5</f>
        <v/>
      </c>
      <c r="E27" s="92">
        <f>D27/$D$11</f>
        <v/>
      </c>
      <c r="F27" s="92">
        <f>'2. Cotizador Henn (USD)'!F27 * $D$5</f>
        <v/>
      </c>
      <c r="G27" s="92">
        <f>F27/$D$11</f>
        <v/>
      </c>
    </row>
    <row r="28">
      <c r="B28" s="56" t="inlineStr">
        <is>
          <t>Optimizado (40%)</t>
        </is>
      </c>
      <c r="C28" s="57">
        <f>'1. Cotizador Henn (BRL)'!C28</f>
        <v/>
      </c>
      <c r="D28" s="89">
        <f>'2. Cotizador Henn (USD)'!D28 * $D$5</f>
        <v/>
      </c>
      <c r="E28" s="89">
        <f>D28/$D$11</f>
        <v/>
      </c>
      <c r="F28" s="89">
        <f>'2. Cotizador Henn (USD)'!F28 * $D$5</f>
        <v/>
      </c>
      <c r="G28" s="89">
        <f>F28/$D$11</f>
        <v/>
      </c>
    </row>
    <row r="29">
      <c r="B29" s="56" t="inlineStr">
        <is>
          <t>Agresivo (50%)</t>
        </is>
      </c>
      <c r="C29" s="57">
        <f>'1. Cotizador Henn (BRL)'!C29</f>
        <v/>
      </c>
      <c r="D29" s="89">
        <f>'2. Cotizador Henn (USD)'!D29 * $D$5</f>
        <v/>
      </c>
      <c r="E29" s="89">
        <f>D29/$D$11</f>
        <v/>
      </c>
      <c r="F29" s="89">
        <f>'2. Cotizador Henn (USD)'!F29 * $D$5</f>
        <v/>
      </c>
      <c r="G29" s="89">
        <f>F29/$D$11</f>
        <v/>
      </c>
    </row>
    <row r="31">
      <c r="B31" s="43" t="inlineStr">
        <is>
          <t>3. Desglose por Rango de Piezas y Complejidad de Mueble RTA (En Pesos Colombianos)</t>
        </is>
      </c>
    </row>
    <row r="33">
      <c r="B33" s="54" t="inlineStr">
        <is>
          <t>Rango de Piezas / Categoría</t>
        </is>
      </c>
      <c r="C33" s="54" t="inlineStr">
        <is>
          <t>Factor Ponderado</t>
        </is>
      </c>
      <c r="D33" s="54" t="inlineStr">
        <is>
          <t>Costo Interno Henn (COP)</t>
        </is>
      </c>
      <c r="E33" s="55" t="inlineStr">
        <is>
          <t>Propuesta Mario (COP)</t>
        </is>
      </c>
      <c r="F33" s="54" t="inlineStr">
        <is>
          <t>Ahorro Unitario (COP)</t>
        </is>
      </c>
      <c r="G33" s="54" t="inlineStr">
        <is>
          <t>Ejemplo de Productos Henn</t>
        </is>
      </c>
    </row>
    <row r="34">
      <c r="B34" s="56" t="inlineStr">
        <is>
          <t>Pequeño: Hasta 10 piezas (~1 día / Simple)</t>
        </is>
      </c>
      <c r="C34" s="62">
        <f>'1. Cotizador Henn (BRL)'!C34</f>
        <v/>
      </c>
      <c r="D34" s="89">
        <f>C34 * ($D$18 / $D$11)</f>
        <v/>
      </c>
      <c r="E34" s="87">
        <f>C34 * ($D$7 / $D$11)</f>
        <v/>
      </c>
      <c r="F34" s="87">
        <f>D34 - E34</f>
        <v/>
      </c>
      <c r="G34" s="33">
        <f>'1. Cotizador Henn (BRL)'!G34</f>
        <v/>
      </c>
    </row>
    <row r="35">
      <c r="B35" s="90" t="inlineStr">
        <is>
          <t>Mediano: 11 a 24 piezas (~1,5 días / Promedio Henn ~20 piezas)</t>
        </is>
      </c>
      <c r="C35" s="93">
        <f>'1. Cotizador Henn (BRL)'!C35</f>
        <v/>
      </c>
      <c r="D35" s="92">
        <f>C35 * ($D$18 / $D$11)</f>
        <v/>
      </c>
      <c r="E35" s="92">
        <f>C35 * ($D$7 / $D$11)</f>
        <v/>
      </c>
      <c r="F35" s="92">
        <f>D35 - E35</f>
        <v/>
      </c>
      <c r="G35" s="94">
        <f>'1. Cotizador Henn (BRL)'!G35</f>
        <v/>
      </c>
    </row>
    <row r="36">
      <c r="B36" s="56" t="inlineStr">
        <is>
          <t>Grande / Complejo: 25 a 40 piezas (~2 días / Multimódulo)</t>
        </is>
      </c>
      <c r="C36" s="62">
        <f>'1. Cotizador Henn (BRL)'!C36</f>
        <v/>
      </c>
      <c r="D36" s="89">
        <f>C36 * ($D$18 / $D$11)</f>
        <v/>
      </c>
      <c r="E36" s="87">
        <f>C36 * ($D$7 / $D$11)</f>
        <v/>
      </c>
      <c r="F36" s="87">
        <f>D36 - E36</f>
        <v/>
      </c>
      <c r="G36" s="33">
        <f>'1. Cotizador Henn (BRL)'!G36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33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8" customWidth="1" min="2" max="2"/>
    <col width="18" customWidth="1" min="3" max="3"/>
    <col width="26" customWidth="1" min="4" max="4"/>
    <col width="24" customWidth="1" min="5" max="5"/>
    <col width="26" customWidth="1" min="6" max="6"/>
    <col width="40" customWidth="1" min="7" max="7"/>
    <col width="8.710000000000001" customWidth="1" min="8" max="8"/>
  </cols>
  <sheetData>
    <row r="2">
      <c r="B2" s="29" t="inlineStr">
        <is>
          <t>Análisis de Rentabilidad e Ingresos Reales en Pesos Colombianos (COP)</t>
        </is>
      </c>
    </row>
    <row r="4">
      <c r="B4" s="30" t="inlineStr">
        <is>
          <t>Conversión Cambiaria B2B (USD ➔ COP), Facturación Proyectada y Ganancia Neta para Mario Mojica</t>
        </is>
      </c>
    </row>
    <row r="6">
      <c r="B6" s="35" t="inlineStr">
        <is>
          <t>FACTURACIÓN ANUAL ESTIMADA (COP)</t>
        </is>
      </c>
      <c r="D6" s="36" t="inlineStr">
        <is>
          <t>FACTURACIÓN MENSUAL PROMEDIO (COP)</t>
        </is>
      </c>
      <c r="F6" s="95" t="inlineStr">
        <is>
          <t>INGRESO PROMEDIO POR MANUAL (COP)</t>
        </is>
      </c>
    </row>
    <row r="7">
      <c r="B7" s="85">
        <f>'3. Cotizador Henn (COP)'!D7</f>
        <v/>
      </c>
      <c r="D7" s="86">
        <f>B7 / 12</f>
        <v/>
      </c>
      <c r="F7" s="96">
        <f>B7 / '1. Cotizador Henn (BRL)'!D11</f>
        <v/>
      </c>
    </row>
    <row r="8">
      <c r="B8" s="41">
        <f>"Equivalente a: " &amp; TEXT('2. Cotizador Henn (USD)'!D7, "$ #,##0.00") &amp; " USD"</f>
        <v/>
      </c>
      <c r="D8" s="42">
        <f>"Por mes (~16.7 manuales/mes)"</f>
        <v/>
      </c>
      <c r="F8" s="97">
        <f>"Equivalente a: " &amp; TEXT('2. Cotizador Henn (USD)'!D7/'1. Cotizador Henn (BRL)'!D11, "$ #,##0.00") &amp; " USD"</f>
        <v/>
      </c>
    </row>
    <row r="10">
      <c r="B10" s="43" t="inlineStr">
        <is>
          <t>1. Parámetros Cambiarios y Costos Operativos de Mario (Celdas Celestes Editables)</t>
        </is>
      </c>
    </row>
    <row r="11">
      <c r="B11" s="44" t="inlineStr">
        <is>
          <t>Tasa de Cambio TRM USD / COP (Sincronizada):</t>
        </is>
      </c>
      <c r="D11" s="87">
        <f>'3. Cotizador Henn (COP)'!$D$5</f>
        <v/>
      </c>
      <c r="E11" s="33" t="inlineStr">
        <is>
          <t>COP / USD</t>
        </is>
      </c>
      <c r="F11" s="33" t="inlineStr">
        <is>
          <t>Tasa tomada de la celda de control TRM COP</t>
        </is>
      </c>
    </row>
    <row r="12">
      <c r="B12" s="44" t="inlineStr">
        <is>
          <t>Costo Servidores / VPS / Hosting / Dominio (Mensual):</t>
        </is>
      </c>
      <c r="D12" s="98" t="n">
        <v>350000</v>
      </c>
      <c r="E12" s="33" t="inlineStr">
        <is>
          <t>COP / mes</t>
        </is>
      </c>
      <c r="F12" s="33" t="inlineStr">
        <is>
          <t>Infraestructura VPS, Supabase y motor 3dBimFab</t>
        </is>
      </c>
    </row>
    <row r="13">
      <c r="B13" s="44" t="inlineStr">
        <is>
          <t>Gastos Bancarios / Swift / Impuestos Transaccionales (%):</t>
        </is>
      </c>
      <c r="D13" s="99" t="n">
        <v>0.04</v>
      </c>
      <c r="E13" s="33" t="inlineStr">
        <is>
          <t>% facturación</t>
        </is>
      </c>
      <c r="F13" s="33" t="inlineStr">
        <is>
          <t>Comisión bancaria de transferencia y 4x1000</t>
        </is>
      </c>
    </row>
    <row r="15">
      <c r="B15" s="100" t="inlineStr">
        <is>
          <t>GANANCIA NETA REAL PROYECTADA (AÑO):</t>
        </is>
      </c>
      <c r="C15" s="101" t="inlineStr">
        <is>
          <t>(Facturación - Servidores - Comisiones)</t>
        </is>
      </c>
      <c r="D15" s="102">
        <f>B7*(1-D13) - (D12*12)</f>
        <v/>
      </c>
      <c r="E15" s="102">
        <f>D15 / 12</f>
        <v/>
      </c>
      <c r="F15" s="103">
        <f>"Margen Neto: " &amp; TEXT(D15/B7, "0.0%") &amp; " de rentabilidad"</f>
        <v/>
      </c>
    </row>
    <row r="17">
      <c r="B17" s="43" t="inlineStr">
        <is>
          <t>2. Proyección de Ingresos en Pesos (COP) según Escenario Comercial Acordado con Henn</t>
        </is>
      </c>
    </row>
    <row r="19">
      <c r="B19" s="54" t="inlineStr">
        <is>
          <t>Escenario Comercial</t>
        </is>
      </c>
      <c r="C19" s="54" t="inlineStr">
        <is>
          <t>% Descuento Henn</t>
        </is>
      </c>
      <c r="D19" s="54" t="inlineStr">
        <is>
          <t>Facturación Anual (USD)</t>
        </is>
      </c>
      <c r="E19" s="54" t="inlineStr">
        <is>
          <t>Facturación Anual (COP)</t>
        </is>
      </c>
      <c r="F19" s="54" t="inlineStr">
        <is>
          <t>Ingreso Mensual (COP)</t>
        </is>
      </c>
      <c r="G19" s="54" t="inlineStr">
        <is>
          <t>Ingreso / Manual (COP)</t>
        </is>
      </c>
    </row>
    <row r="25">
      <c r="B25" s="56" t="inlineStr">
        <is>
          <t>Conservador (10% descuento)</t>
        </is>
      </c>
      <c r="C25" s="57">
        <f>'3. Cotizador Henn (COP)'!C25</f>
        <v/>
      </c>
      <c r="D25" s="76">
        <f>'2. Cotizador Henn (USD)'!D25</f>
        <v/>
      </c>
      <c r="E25" s="89">
        <f>'3. Cotizador Henn (COP)'!D25</f>
        <v/>
      </c>
      <c r="F25" s="89">
        <f>E25 / 12</f>
        <v/>
      </c>
      <c r="G25" s="89">
        <f>'3. Cotizador Henn (COP)'!E25</f>
        <v/>
      </c>
    </row>
    <row r="26">
      <c r="B26" s="104" t="inlineStr">
        <is>
          <t>3. Simulación de Escala B2B Multicliente en Brasil (Potencial Total en COP)</t>
        </is>
      </c>
    </row>
    <row r="27">
      <c r="B27" s="90" t="inlineStr">
        <is>
          <t>⭐ Recomendado (30% descuento - Estándar Mario)</t>
        </is>
      </c>
      <c r="C27" s="91">
        <f>'3. Cotizador Henn (COP)'!C27</f>
        <v/>
      </c>
      <c r="D27" s="105">
        <f>'2. Cotizador Henn (USD)'!D27</f>
        <v/>
      </c>
      <c r="E27" s="92">
        <f>'3. Cotizador Henn (COP)'!D27</f>
        <v/>
      </c>
      <c r="F27" s="92">
        <f>E27 / 12</f>
        <v/>
      </c>
      <c r="G27" s="92">
        <f>'3. Cotizador Henn (COP)'!E27</f>
        <v/>
      </c>
    </row>
    <row r="28">
      <c r="B28" s="106" t="inlineStr">
        <is>
          <t>Volumen de Fabricantes</t>
        </is>
      </c>
      <c r="C28" s="107" t="inlineStr">
        <is>
          <t>Empresas en Brasil</t>
        </is>
      </c>
      <c r="D28" s="108" t="inlineStr">
        <is>
          <t>Facturación Anual (USD)</t>
        </is>
      </c>
      <c r="E28" s="109" t="inlineStr">
        <is>
          <t>Facturación Anual (COP)</t>
        </is>
      </c>
      <c r="F28" s="109" t="inlineStr">
        <is>
          <t>Ingreso Mensual (COP)</t>
        </is>
      </c>
      <c r="G28" s="109" t="inlineStr">
        <is>
          <t>Ganancia Neta Anual (COP)</t>
        </is>
      </c>
    </row>
    <row r="29">
      <c r="B29" s="52" t="inlineStr">
        <is>
          <t>1 Fabricante (Piloto)</t>
        </is>
      </c>
      <c r="C29" s="57" t="inlineStr">
        <is>
          <t>Móveis Henn</t>
        </is>
      </c>
      <c r="D29" s="73">
        <f>'2. Cotizador Henn (USD)'!D27 * 1</f>
        <v/>
      </c>
      <c r="E29" s="87">
        <f>D29 * '3. Cotizador Henn (COP)'!$D$5</f>
        <v/>
      </c>
      <c r="F29" s="87">
        <f>E29 / 12</f>
        <v/>
      </c>
      <c r="G29" s="87">
        <f>E29*(1-$D$13) - ($D$12*12*1*0.4)</f>
        <v/>
      </c>
    </row>
    <row r="30">
      <c r="B30" s="56" t="inlineStr">
        <is>
          <t>2 Fabricantes</t>
        </is>
      </c>
      <c r="C30" s="56" t="inlineStr">
        <is>
          <t>Henn + Politorno</t>
        </is>
      </c>
      <c r="D30" s="76">
        <f>'2. Cotizador Henn (USD)'!D27 * 2</f>
        <v/>
      </c>
      <c r="E30" s="89">
        <f>D30 * '3. Cotizador Henn (COP)'!$D$5</f>
        <v/>
      </c>
      <c r="F30" s="89">
        <f>E30 / 12</f>
        <v/>
      </c>
      <c r="G30" s="89">
        <f>E30*(1-$D$13) - ($D$12*12*2*0.4)</f>
        <v/>
      </c>
    </row>
    <row r="31">
      <c r="B31" s="56" t="inlineStr">
        <is>
          <t>3 Fabricantes</t>
        </is>
      </c>
      <c r="C31" s="56" t="inlineStr">
        <is>
          <t>Henn + Politorno + Kappesberg</t>
        </is>
      </c>
      <c r="D31" s="76">
        <f>'2. Cotizador Henn (USD)'!D27 * 3</f>
        <v/>
      </c>
      <c r="E31" s="89">
        <f>D31 * '3. Cotizador Henn (COP)'!$D$5</f>
        <v/>
      </c>
      <c r="F31" s="89">
        <f>E31 / 12</f>
        <v/>
      </c>
      <c r="G31" s="89">
        <f>E31*(1-$D$13) - ($D$12*12*3*0.4)</f>
        <v/>
      </c>
    </row>
    <row r="32">
      <c r="B32" s="56" t="inlineStr">
        <is>
          <t>5 Fabricantes</t>
        </is>
      </c>
      <c r="C32" s="56" t="inlineStr">
        <is>
          <t>Top 5 Empresas RTA Brasil</t>
        </is>
      </c>
      <c r="D32" s="76">
        <f>'2. Cotizador Henn (USD)'!D27 * 5</f>
        <v/>
      </c>
      <c r="E32" s="89">
        <f>D32 * '3. Cotizador Henn (COP)'!$D$5</f>
        <v/>
      </c>
      <c r="F32" s="89">
        <f>E32 / 12</f>
        <v/>
      </c>
      <c r="G32" s="89">
        <f>E32*(1-$D$13) - ($D$12*12*5*0.4)</f>
        <v/>
      </c>
    </row>
    <row r="33">
      <c r="B33" s="56" t="inlineStr">
        <is>
          <t>10 Fabricantes</t>
        </is>
      </c>
      <c r="C33" s="56" t="inlineStr">
        <is>
          <t>Consolidación Sectorial RTA</t>
        </is>
      </c>
      <c r="D33" s="76">
        <f>'2. Cotizador Henn (USD)'!D27 * 10</f>
        <v/>
      </c>
      <c r="E33" s="89">
        <f>D33 * '3. Cotizador Henn (COP)'!$D$5</f>
        <v/>
      </c>
      <c r="F33" s="89">
        <f>E33 / 12</f>
        <v/>
      </c>
      <c r="G33" s="89">
        <f>E33*(1-$D$13) - ($D$12*12*10*0.4)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2026-09-23T14:12:57Z</dcterms:created>
  <dcterms:modified xsi:type="dcterms:W3CDTF">2026-09-23T14:13:10Z</dcterms:modified>
</cp:coreProperties>
</file>