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Polito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name val="Calibri"/>
      <b val="1"/>
      <color rgb="000088AA"/>
      <sz val="16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0088AA"/>
        <bgColor rgb="000088AA"/>
      </patternFill>
    </fill>
    <fill>
      <patternFill patternType="solid">
        <fgColor rgb="00E6F4F2"/>
        <bgColor rgb="00E6F4F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5" customWidth="1" min="3" max="3"/>
    <col width="55" customWidth="1" min="4" max="4"/>
  </cols>
  <sheetData>
    <row r="1" ht="35" customHeight="1">
      <c r="A1" s="1" t="inlineStr">
        <is>
          <t>CALCULADORA DE COSTOS R&amp;D Y AHORRO 30% - POLITORNO</t>
        </is>
      </c>
    </row>
    <row r="3" ht="25" customHeight="1">
      <c r="A3" s="2" t="inlineStr">
        <is>
          <t>Variable / Pregunta a Marcelo</t>
        </is>
      </c>
      <c r="B3" s="2" t="inlineStr">
        <is>
          <t>Valor</t>
        </is>
      </c>
      <c r="C3" s="2" t="inlineStr">
        <is>
          <t>Unidad</t>
        </is>
      </c>
      <c r="D3" s="2" t="inlineStr">
        <is>
          <t>Fórmula / Notas</t>
        </is>
      </c>
    </row>
    <row r="4" ht="22" customHeight="1">
      <c r="A4" s="3" t="inlineStr">
        <is>
          <t>1. Datos de Personal y Salarios (P&amp;D / I+D)</t>
        </is>
      </c>
    </row>
    <row r="5" ht="20" customHeight="1">
      <c r="A5" s="4" t="inlineStr">
        <is>
          <t>N° de personas en P&amp;D dedicadas a manuales</t>
        </is>
      </c>
      <c r="B5" s="5" t="n">
        <v>2</v>
      </c>
      <c r="C5" s="6" t="inlineStr">
        <is>
          <t>Personas</t>
        </is>
      </c>
      <c r="D5" s="4" t="inlineStr">
        <is>
          <t>Dato ingresado (Marcelo)</t>
        </is>
      </c>
    </row>
    <row r="6" ht="20" customHeight="1">
      <c r="A6" s="4" t="inlineStr">
        <is>
          <t>Salario mensual promedio + cargas sociales (CLT)</t>
        </is>
      </c>
      <c r="B6" s="7" t="n">
        <v>6000</v>
      </c>
      <c r="C6" s="6" t="inlineStr">
        <is>
          <t>R$ / mes</t>
        </is>
      </c>
      <c r="D6" s="4" t="inlineStr">
        <is>
          <t>Estimación Bento Gonçalves (R$ 3.800 + encargos)</t>
        </is>
      </c>
    </row>
    <row r="7" ht="20" customHeight="1">
      <c r="A7" s="4" t="inlineStr">
        <is>
          <t>Horas laborales al mes por persona</t>
        </is>
      </c>
      <c r="B7" s="5" t="n">
        <v>176</v>
      </c>
      <c r="C7" s="6" t="inlineStr">
        <is>
          <t>Horas/mes</t>
        </is>
      </c>
      <c r="D7" s="4" t="inlineStr">
        <is>
          <t>44h/semana x 4 semanas</t>
        </is>
      </c>
    </row>
    <row r="8" ht="20" customHeight="1">
      <c r="A8" s="8" t="inlineStr">
        <is>
          <t>Costo Hora / Hombre (P&amp;D)</t>
        </is>
      </c>
      <c r="B8" s="9">
        <f>B6/B7</f>
        <v/>
      </c>
      <c r="C8" s="10" t="inlineStr">
        <is>
          <t>R$ / hora</t>
        </is>
      </c>
      <c r="D8" s="8" t="inlineStr">
        <is>
          <t>Fórmula: B6 / B7</t>
        </is>
      </c>
    </row>
    <row r="10" ht="22" customHeight="1">
      <c r="A10" s="3" t="inlineStr">
        <is>
          <t>2. Volumen Mensual de Lanzamientos por Complejidad</t>
        </is>
      </c>
    </row>
    <row r="11" ht="20" customHeight="1">
      <c r="A11" s="4" t="inlineStr">
        <is>
          <t>Manuales Pequeños (&lt; 10 piezas)</t>
        </is>
      </c>
      <c r="B11" s="5" t="n">
        <v>5</v>
      </c>
      <c r="C11" s="6" t="inlineStr">
        <is>
          <t>Manuales</t>
        </is>
      </c>
      <c r="D11" s="4" t="inlineStr">
        <is>
          <t>1 día (8h) por manual</t>
        </is>
      </c>
    </row>
    <row r="12" ht="20" customHeight="1">
      <c r="A12" s="4" t="inlineStr">
        <is>
          <t>Manuales Medianos (11 a 25 piezas)</t>
        </is>
      </c>
      <c r="B12" s="5" t="n">
        <v>8</v>
      </c>
      <c r="C12" s="6" t="inlineStr">
        <is>
          <t>Manuales</t>
        </is>
      </c>
      <c r="D12" s="4" t="inlineStr">
        <is>
          <t>1.5 días (12h) por manual</t>
        </is>
      </c>
    </row>
    <row r="13" ht="20" customHeight="1">
      <c r="A13" s="4" t="inlineStr">
        <is>
          <t>Manuales Grandes (26 a 40 piezas)</t>
        </is>
      </c>
      <c r="B13" s="5" t="n">
        <v>3</v>
      </c>
      <c r="C13" s="6" t="inlineStr">
        <is>
          <t>Manuales</t>
        </is>
      </c>
      <c r="D13" s="4" t="inlineStr">
        <is>
          <t>2 días (16h) por manual</t>
        </is>
      </c>
    </row>
    <row r="14" ht="20" customHeight="1">
      <c r="A14" s="8" t="inlineStr">
        <is>
          <t>Total Manuales Nuevos por Mes</t>
        </is>
      </c>
      <c r="B14" s="11">
        <f>SUM(B11:B13)</f>
        <v/>
      </c>
      <c r="C14" s="10" t="inlineStr">
        <is>
          <t>Manuales</t>
        </is>
      </c>
      <c r="D14" s="8" t="inlineStr">
        <is>
          <t>Suma de B11 a B13</t>
        </is>
      </c>
    </row>
    <row r="16" ht="22" customHeight="1">
      <c r="A16" s="3" t="inlineStr">
        <is>
          <t>3. Horas Totales Invertidas en P&amp;D al Mes</t>
        </is>
      </c>
    </row>
    <row r="17" ht="20" customHeight="1">
      <c r="A17" s="4" t="inlineStr">
        <is>
          <t>Horas en Manuales Pequeños</t>
        </is>
      </c>
      <c r="B17" s="5">
        <f>B11*8</f>
        <v/>
      </c>
      <c r="C17" s="6" t="inlineStr">
        <is>
          <t>Horas</t>
        </is>
      </c>
      <c r="D17" s="4" t="inlineStr">
        <is>
          <t>Fórmula: B11 x 8h</t>
        </is>
      </c>
    </row>
    <row r="18" ht="20" customHeight="1">
      <c r="A18" s="4" t="inlineStr">
        <is>
          <t>Horas en Manuales Medianos</t>
        </is>
      </c>
      <c r="B18" s="5">
        <f>B12*12</f>
        <v/>
      </c>
      <c r="C18" s="6" t="inlineStr">
        <is>
          <t>Horas</t>
        </is>
      </c>
      <c r="D18" s="4" t="inlineStr">
        <is>
          <t>Fórmula: B12 x 12h</t>
        </is>
      </c>
    </row>
    <row r="19" ht="20" customHeight="1">
      <c r="A19" s="4" t="inlineStr">
        <is>
          <t>Horas en Manuales Grandes</t>
        </is>
      </c>
      <c r="B19" s="5">
        <f>B13*16</f>
        <v/>
      </c>
      <c r="C19" s="6" t="inlineStr">
        <is>
          <t>Horas</t>
        </is>
      </c>
      <c r="D19" s="4" t="inlineStr">
        <is>
          <t>Fórmula: B13 x 16h</t>
        </is>
      </c>
    </row>
    <row r="20" ht="20" customHeight="1">
      <c r="A20" s="8" t="inlineStr">
        <is>
          <t>Total Horas Invertidas al Mes</t>
        </is>
      </c>
      <c r="B20" s="11">
        <f>SUM(B17:B19)</f>
        <v/>
      </c>
      <c r="C20" s="10" t="inlineStr">
        <is>
          <t>Horas</t>
        </is>
      </c>
      <c r="D20" s="8" t="inlineStr">
        <is>
          <t>Suma B17:B19 (Equivale a &gt;1 proyectista a tiempo completo)</t>
        </is>
      </c>
    </row>
    <row r="22" ht="22" customHeight="1">
      <c r="A22" s="3" t="inlineStr">
        <is>
          <t>4. Costos Internos Actuales de Politorno (Manual Impreso)</t>
        </is>
      </c>
    </row>
    <row r="23" ht="20" customHeight="1">
      <c r="A23" s="8" t="inlineStr">
        <is>
          <t>Costo Interno Mensual de Politorno</t>
        </is>
      </c>
      <c r="B23" s="9">
        <f>B20*B8</f>
        <v/>
      </c>
      <c r="C23" s="10" t="inlineStr">
        <is>
          <t>R$</t>
        </is>
      </c>
      <c r="D23" s="8" t="inlineStr">
        <is>
          <t>Fórmula: B20 x B8 (Costo total en tiempo P&amp;D)</t>
        </is>
      </c>
    </row>
    <row r="24" ht="20" customHeight="1">
      <c r="A24" s="4" t="inlineStr">
        <is>
          <t>Costo Interno Promedio por Manual</t>
        </is>
      </c>
      <c r="B24" s="7">
        <f>B23/B14</f>
        <v/>
      </c>
      <c r="C24" s="6" t="inlineStr">
        <is>
          <t>R$ / manual</t>
        </is>
      </c>
      <c r="D24" s="4" t="inlineStr">
        <is>
          <t>Fórmula: B23 / B14</t>
        </is>
      </c>
    </row>
    <row r="26" ht="22" customHeight="1">
      <c r="A26" s="3" t="inlineStr">
        <is>
          <t>5. Propuesta Comercial Mario Mojica (Gana-Gana con 30% Ahorro)</t>
        </is>
      </c>
    </row>
    <row r="27" ht="20" customHeight="1">
      <c r="A27" s="12" t="inlineStr">
        <is>
          <t>Propuesta Mario Mojica (30% Ahorro Garantizado)</t>
        </is>
      </c>
      <c r="B27" s="13">
        <f>B23*0.70</f>
        <v/>
      </c>
      <c r="C27" s="14" t="inlineStr">
        <is>
          <t>R$ / mes</t>
        </is>
      </c>
      <c r="D27" s="12" t="inlineStr">
        <is>
          <t>Fórmula: B23 x 70% (Tarifa sugerida)</t>
        </is>
      </c>
    </row>
    <row r="28" ht="20" customHeight="1">
      <c r="A28" s="12" t="inlineStr">
        <is>
          <t>Ahorro Neto Mensual para Politorno</t>
        </is>
      </c>
      <c r="B28" s="13">
        <f>B23-B27</f>
        <v/>
      </c>
      <c r="C28" s="14" t="inlineStr">
        <is>
          <t>R$ / mes</t>
        </is>
      </c>
      <c r="D28" s="12" t="inlineStr">
        <is>
          <t>Fórmula: B23 - B27 (Ahorro directo mensual)</t>
        </is>
      </c>
    </row>
    <row r="29" ht="20" customHeight="1">
      <c r="A29" s="12" t="inlineStr">
        <is>
          <t>Ahorro Anual Garantizado para Politorno</t>
        </is>
      </c>
      <c r="B29" s="13">
        <f>B28*12</f>
        <v/>
      </c>
      <c r="C29" s="14" t="inlineStr">
        <is>
          <t>R$ / año</t>
        </is>
      </c>
      <c r="D29" s="12" t="inlineStr">
        <is>
          <t>Fórmula: B28 x 12 (Ahorro anual acumulado)</t>
        </is>
      </c>
    </row>
  </sheetData>
  <mergeCells count="6">
    <mergeCell ref="A1:D1"/>
    <mergeCell ref="A22:D22"/>
    <mergeCell ref="A4:D4"/>
    <mergeCell ref="A26:D26"/>
    <mergeCell ref="A16:D16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2026-08-11T14:44:37Z</dcterms:created>
  <dcterms:modified xsi:type="dcterms:W3CDTF">2026-08-11T14:44:37Z</dcterms:modified>
</cp:coreProperties>
</file>