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mc:AlternateContent xmlns:mc="http://schemas.openxmlformats.org/markup-compatibility/2006">
    <mc:Choice Requires="x15">
      <x15ac:absPath xmlns:x15ac="http://schemas.microsoft.com/office/spreadsheetml/2010/11/ac" url="C:\Users\mario.mojica\OneDrive - Maderkit S.A\@Proyectos\Manuales_Digitales\Metricas_App_de_armado\"/>
    </mc:Choice>
  </mc:AlternateContent>
  <xr:revisionPtr revIDLastSave="3" documentId="13_ncr:1_{8E9B6957-99E2-4691-97D5-A92A2B7AF5BB}" xr6:coauthVersionLast="47" xr6:coauthVersionMax="47" xr10:uidLastSave="{D5ED2F84-4ADC-4788-8E5A-EBDB07F0399C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Q11" i="2"/>
  <c r="P9" i="2"/>
  <c r="P8" i="2"/>
  <c r="P11" i="2" s="1"/>
  <c r="C73" i="2" l="1"/>
  <c r="E6" i="2" l="1"/>
  <c r="C34" i="2" s="1"/>
  <c r="E5" i="2"/>
  <c r="C33" i="2" s="1"/>
  <c r="E4" i="2"/>
  <c r="C32" i="2" s="1"/>
  <c r="E3" i="2"/>
  <c r="C31" i="2" s="1"/>
  <c r="E8" i="2" l="1"/>
  <c r="G8" i="2" s="1"/>
  <c r="E74" i="1" s="1"/>
  <c r="C36" i="2"/>
  <c r="C48" i="2" s="1"/>
  <c r="C61" i="2" l="1"/>
</calcChain>
</file>

<file path=xl/sharedStrings.xml><?xml version="1.0" encoding="utf-8"?>
<sst xmlns="http://schemas.openxmlformats.org/spreadsheetml/2006/main" count="281" uniqueCount="162">
  <si>
    <t>Nombre</t>
  </si>
  <si>
    <t>Telefono</t>
  </si>
  <si>
    <t>Correo</t>
  </si>
  <si>
    <t>Pregunta1</t>
  </si>
  <si>
    <t>Pregunta2</t>
  </si>
  <si>
    <t>Pregunta3</t>
  </si>
  <si>
    <t>Eswin salced</t>
  </si>
  <si>
    <t>edwinsal26@gmail.com</t>
  </si>
  <si>
    <t>La voz guía.</t>
  </si>
  <si>
    <t>Sí</t>
  </si>
  <si>
    <t>Buena</t>
  </si>
  <si>
    <t xml:space="preserve">Cesar andres muñoz Ariza </t>
  </si>
  <si>
    <t>cesarmunozm07@gmail.com</t>
  </si>
  <si>
    <t>Los colores de la representación.</t>
  </si>
  <si>
    <t xml:space="preserve">Muy complicado </t>
  </si>
  <si>
    <t xml:space="preserve">Natalia Gonzalez Gonzalez </t>
  </si>
  <si>
    <t>nathysthg@gmail.com</t>
  </si>
  <si>
    <t>La visualización de las partes y accesorios del mueble.</t>
  </si>
  <si>
    <t xml:space="preserve">Increíble. Me encantó esta estrategia </t>
  </si>
  <si>
    <t>María Del Carmen garavito muñoz</t>
  </si>
  <si>
    <t>juan4321po22@gmail.com</t>
  </si>
  <si>
    <t>Todas las anteriores.</t>
  </si>
  <si>
    <t>Qjjq</t>
  </si>
  <si>
    <t xml:space="preserve">Valentina Palacio </t>
  </si>
  <si>
    <t>andrea.valentina.palacio.h@gmail.com</t>
  </si>
  <si>
    <t xml:space="preserve">Un poco complicado </t>
  </si>
  <si>
    <t>Jean carlo</t>
  </si>
  <si>
    <t>yancarlo.jcma@gmail.com</t>
  </si>
  <si>
    <t xml:space="preserve">Es un método bueno, ya que permite visualizar cada parte y accesorio, para así poder determinar la ubicación correcta </t>
  </si>
  <si>
    <t>Andrés</t>
  </si>
  <si>
    <t>andres.18adeb@gmail.com</t>
  </si>
  <si>
    <t>Cool</t>
  </si>
  <si>
    <t xml:space="preserve">Luisa María Rodríguez Guevara </t>
  </si>
  <si>
    <t>gminsuga7@gmail.com</t>
  </si>
  <si>
    <t>Creo que resulta más cómodo conocer cuáles piezas son y su funcionamiento y al ser interactivo ayuda en gran medida a comprender de la manera más adecuada.</t>
  </si>
  <si>
    <t xml:space="preserve">JOSSELYN </t>
  </si>
  <si>
    <t>27dayanna12@gmail.com</t>
  </si>
  <si>
    <t xml:space="preserve">Exelente y muy práctico </t>
  </si>
  <si>
    <t xml:space="preserve">Almar Lizeth Camila Rodríguez Rivera </t>
  </si>
  <si>
    <t>almarlizeth@gmail.com</t>
  </si>
  <si>
    <t xml:space="preserve">Excelente </t>
  </si>
  <si>
    <t>Fernanda roa</t>
  </si>
  <si>
    <t>nandaroa27@hotmail.com</t>
  </si>
  <si>
    <t>Poder repetir facilmente cada paso.</t>
  </si>
  <si>
    <t>Muy bien</t>
  </si>
  <si>
    <t>STIVEN DAVID GARGIA</t>
  </si>
  <si>
    <t>estivengarcia2912@gmail.com</t>
  </si>
  <si>
    <t>Excelente, muy dinámico Gracias a este manual interactivo.</t>
  </si>
  <si>
    <t>Hercilia Gómez Rueda</t>
  </si>
  <si>
    <t>kjplata@hotmail.com</t>
  </si>
  <si>
    <t xml:space="preserve">Pensé que iba a ser más difícil el armado del mueble pero con este instructivo digital fue muy fácil, solo necesite un poco de tiempo </t>
  </si>
  <si>
    <t>Soranch Silva</t>
  </si>
  <si>
    <t>sooraanchsilva@gmail.com</t>
  </si>
  <si>
    <t>Nos ayudamos mucho con el sistema ,gracias</t>
  </si>
  <si>
    <t>Edwin alexis Gómez Martínez</t>
  </si>
  <si>
    <t>edwingomezmartinez@gmail.com</t>
  </si>
  <si>
    <t>Muy bueno el manual digital y el mueble</t>
  </si>
  <si>
    <t>Andrea Giraldo Manrique</t>
  </si>
  <si>
    <t>andg18@utp.edu.co</t>
  </si>
  <si>
    <t xml:space="preserve">Es un muy bien método, sin embargo hay tornillos que quedaron mal ajustados pues no se entiende como se deben apretar, por lo demás esta perfecto 
</t>
  </si>
  <si>
    <t>Julián David Cano Saldarriaga</t>
  </si>
  <si>
    <t>canojulian64@gmail.com</t>
  </si>
  <si>
    <t>Excelente guía, se hace muy lúdica fácil como un rompecabezas sencillo.</t>
  </si>
  <si>
    <t>Samir Herbed Martinez Grajales</t>
  </si>
  <si>
    <t>camiwte@hotmail.com</t>
  </si>
  <si>
    <t>Bueno</t>
  </si>
  <si>
    <t>Jhonny moreno</t>
  </si>
  <si>
    <t>paezesteban451@gmail.com</t>
  </si>
  <si>
    <t>Genial</t>
  </si>
  <si>
    <t>Linda uribe</t>
  </si>
  <si>
    <t>lindauribec@hotmail.com</t>
  </si>
  <si>
    <t>Muy buena herramienta, no sería posible el armado para una persona sin conocimiento en el tema solamente con el manual físico</t>
  </si>
  <si>
    <t>Linda</t>
  </si>
  <si>
    <t>lindauribec@hotnail.com</t>
  </si>
  <si>
    <t>Es muy buena herramienta, pero debería ser más despacio</t>
  </si>
  <si>
    <t>Diana</t>
  </si>
  <si>
    <t>dianita_8403@hotmail.com</t>
  </si>
  <si>
    <t>No</t>
  </si>
  <si>
    <t>Gracias</t>
  </si>
  <si>
    <t>Jhon</t>
  </si>
  <si>
    <t>styvenmolina13@gmail.com</t>
  </si>
  <si>
    <t>Jdjdjf</t>
  </si>
  <si>
    <t>ndjdjdj@hehjdfj</t>
  </si>
  <si>
    <t>Excelente</t>
  </si>
  <si>
    <t>Andres Malagón</t>
  </si>
  <si>
    <t>andres210617@gmail.com</t>
  </si>
  <si>
    <t>Si</t>
  </si>
  <si>
    <t>Jairo Alexander Granobles Ruiz</t>
  </si>
  <si>
    <t>alexxander221990@hotmail.com</t>
  </si>
  <si>
    <t>Me parece muy practico e innovador</t>
  </si>
  <si>
    <t>Jeanny carolina</t>
  </si>
  <si>
    <t>dra.carolinaguayazan@gmail.com</t>
  </si>
  <si>
    <t>Muy efectivo</t>
  </si>
  <si>
    <t>Fabio perez</t>
  </si>
  <si>
    <t>fabioniche1@hotmail.com</t>
  </si>
  <si>
    <t>Excelente y fácil de armar desde el aplicativo.</t>
  </si>
  <si>
    <t>Marcela López</t>
  </si>
  <si>
    <t>marcelal2503@gmail.com</t>
  </si>
  <si>
    <t>Súper bueno, estaba muy enredada hasta que empecé a ver el manual digital, muchas gracias</t>
  </si>
  <si>
    <t>María Fernanda Sánchez</t>
  </si>
  <si>
    <t>mafesv1110@gmail.com</t>
  </si>
  <si>
    <t>Es muy buena ayuda, sin embargo se debe acudir al manual físico para entender el cómo poner algunas piezas y el explicar cómo usar los tornillos con videos reales</t>
  </si>
  <si>
    <t>Diego Fernando Caicedo Cubillos</t>
  </si>
  <si>
    <t>diegofernandoc03@gmail.com</t>
  </si>
  <si>
    <t>Bn</t>
  </si>
  <si>
    <t>Iván Alvarado</t>
  </si>
  <si>
    <t>ivan86021@hotmail.com</t>
  </si>
  <si>
    <t>Excelente aplicación</t>
  </si>
  <si>
    <t>Josw</t>
  </si>
  <si>
    <t>iamjosegiraldo@gmail.com</t>
  </si>
  <si>
    <t>Leidy López</t>
  </si>
  <si>
    <t>leidyju0231@gmail.com</t>
  </si>
  <si>
    <t>Muy servicial y didáctica</t>
  </si>
  <si>
    <t>Vladimir nuñez</t>
  </si>
  <si>
    <t>infantilesmimunequita@gmail.com</t>
  </si>
  <si>
    <t>Ecxelente</t>
  </si>
  <si>
    <t>Jhon Alber Quezada Medina</t>
  </si>
  <si>
    <t>jhonyino.1104@gmail.com</t>
  </si>
  <si>
    <t>Ferney Alexander Giraldo Castaño</t>
  </si>
  <si>
    <t>agisan82@hotmail.com</t>
  </si>
  <si>
    <t>Está bien pero puede ir apoyado de un vídeo</t>
  </si>
  <si>
    <t>David</t>
  </si>
  <si>
    <t>david222731@gmail.com</t>
  </si>
  <si>
    <t>Hola</t>
  </si>
  <si>
    <t>Andrés Estrada</t>
  </si>
  <si>
    <t>asestradaescobar@gmail.com</t>
  </si>
  <si>
    <t>Analisis de sentimiento</t>
  </si>
  <si>
    <t>Positivas</t>
  </si>
  <si>
    <t>Neutrales</t>
  </si>
  <si>
    <t>Negativas</t>
  </si>
  <si>
    <t>Que le le ayudo mas en el armado?</t>
  </si>
  <si>
    <t>Escaneos totales</t>
  </si>
  <si>
    <t>Personas que participaron en la encuesta</t>
  </si>
  <si>
    <t>Encuestados</t>
  </si>
  <si>
    <t>Escaneos</t>
  </si>
  <si>
    <t>M01536ES Escritorio Repisa</t>
  </si>
  <si>
    <t>P00375CC Centro de Computo Lucca</t>
  </si>
  <si>
    <t>M01377ES Escritorio Batistine</t>
  </si>
  <si>
    <t>Escaneos entre el 5 y 21 de junio</t>
  </si>
  <si>
    <t>Entre el 5 y 21 de junio</t>
  </si>
  <si>
    <t>Entre el 22  de Junio y el 5 de Julio</t>
  </si>
  <si>
    <t>Entre el 6 de Julio y el 15 agosto</t>
  </si>
  <si>
    <t>Entre el 16 de agosto y el 8 octubre</t>
  </si>
  <si>
    <t>M01573CL Armario Burdeos</t>
  </si>
  <si>
    <t>Entre el 5 de Junio y el 8 de octubre</t>
  </si>
  <si>
    <t>Entre el 9 octubre 2023 y 9 de enero de 2024</t>
  </si>
  <si>
    <t>Entre el 10 y 28 de enero de 2024</t>
  </si>
  <si>
    <t>Escaneos entre el 22  de Junio y el 5 de Julio</t>
  </si>
  <si>
    <t>Procesos para el desarrollo de un mueble en Maderkit</t>
  </si>
  <si>
    <t>Escaneos entre el 6 de Julio y el 15 agosto</t>
  </si>
  <si>
    <t>Escaneos entre el 16 de agosto y el 8 octubre</t>
  </si>
  <si>
    <t>Escaneos entre el 5 de Junio y el 8 de octubre</t>
  </si>
  <si>
    <t>Total volantes</t>
  </si>
  <si>
    <t>Despachados a la fecha</t>
  </si>
  <si>
    <t>Total escaneos</t>
  </si>
  <si>
    <t>Escaneos entre el 9 octubre 2023 y 9 de enero de 2024</t>
  </si>
  <si>
    <t>En verde muebles con version de manual resumido</t>
  </si>
  <si>
    <t>En la red desde el 21 de Diciembre de 2023</t>
  </si>
  <si>
    <t>M01796CB Combo Escritorio+Biblioteca Zeke</t>
  </si>
  <si>
    <t>M01588ES Escritorio Biblioteca Wex</t>
  </si>
  <si>
    <t>Escaneos entre el 10 y 17 de enero de 2024</t>
  </si>
  <si>
    <t>Escaneos entre el 11 y 28 de enero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</si>
</sst>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Calibri"/>
      <family val="2"/>
    </font>
    <font>
      <b/>
      <sz val="14"/>
      <color rgb="FFFFFFFF"/>
      <name val="Arial"/>
      <family val="2"/>
      <scheme val="major"/>
    </font>
    <font>
      <sz val="12"/>
      <color theme="1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/>
    <xf numFmtId="9" fontId="0" fillId="0" borderId="12" xfId="0" applyNumberFormat="1" applyBorder="1"/>
    <xf numFmtId="0" fontId="5" fillId="0" borderId="0" xfId="2" applyAlignment="1">
      <alignment wrapText="1"/>
    </xf>
    <xf numFmtId="0" fontId="5" fillId="0" borderId="0" xfId="2"/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12" xfId="0" applyFont="1" applyBorder="1"/>
    <xf numFmtId="9" fontId="6" fillId="0" borderId="0" xfId="1" applyFont="1"/>
    <xf numFmtId="0" fontId="8" fillId="5" borderId="0" xfId="0" applyFont="1" applyFill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8" fillId="5" borderId="12" xfId="0" applyFont="1" applyFill="1" applyBorder="1" applyAlignment="1">
      <alignment horizontal="center" vertical="center" wrapText="1"/>
    </xf>
    <xf numFmtId="14" fontId="6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horizontal="right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1" xfId="0" applyFont="1" applyBorder="1" applyAlignment="1">
      <alignment vertical="center"/>
    </xf>
    <xf numFmtId="0" fontId="2" fillId="6" borderId="11" xfId="0" applyFont="1" applyFill="1" applyBorder="1" applyAlignment="1">
      <alignment wrapText="1"/>
    </xf>
    <xf numFmtId="0" fontId="2" fillId="6" borderId="11" xfId="0" applyFont="1" applyFill="1" applyBorder="1" applyAlignment="1">
      <alignment horizontal="right" wrapText="1"/>
    </xf>
    <xf numFmtId="0" fontId="0" fillId="0" borderId="12" xfId="0" applyBorder="1" applyAlignment="1">
      <alignment horizontal="center" wrapText="1"/>
    </xf>
    <xf numFmtId="0" fontId="7" fillId="4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2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Sentimiento de respuestas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8-4AA8-B5AB-0BA1B8010E4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78-4AA8-B5AB-0BA1B8010E4F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8-4AA8-B5AB-0BA1B8010E4F}"/>
              </c:ext>
            </c:extLst>
          </c:dPt>
          <c:cat>
            <c:strRef>
              <c:f>Hoja1!$C$44:$C$46</c:f>
              <c:strCache>
                <c:ptCount val="3"/>
                <c:pt idx="0">
                  <c:v>Positivas</c:v>
                </c:pt>
                <c:pt idx="1">
                  <c:v>Neutrales</c:v>
                </c:pt>
                <c:pt idx="2">
                  <c:v>Negativas</c:v>
                </c:pt>
              </c:strCache>
            </c:strRef>
          </c:cat>
          <c:val>
            <c:numRef>
              <c:f>Hoja1!$D$44:$D$46</c:f>
              <c:numCache>
                <c:formatCode>General</c:formatCode>
                <c:ptCount val="3"/>
                <c:pt idx="0">
                  <c:v>27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8-4AA8-B5AB-0BA1B801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Escaneos de QR App</a:t>
            </a:r>
            <a:r>
              <a:rPr lang="es-CO" baseline="0"/>
              <a:t> de armado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Hoja2!$J$1</c:f>
              <c:strCache>
                <c:ptCount val="1"/>
                <c:pt idx="0">
                  <c:v>M01536ES Escritorio Repisa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Hoja2!$I$2:$I$8</c:f>
              <c:strCache>
                <c:ptCount val="7"/>
                <c:pt idx="0">
                  <c:v>Entre el 5 y 21 de junio</c:v>
                </c:pt>
                <c:pt idx="1">
                  <c:v>Entre el 22  de Junio y el 5 de Julio</c:v>
                </c:pt>
                <c:pt idx="2">
                  <c:v>Entre el 6 de Julio y el 15 agosto</c:v>
                </c:pt>
                <c:pt idx="3">
                  <c:v>Entre el 16 de agosto y el 8 octubre</c:v>
                </c:pt>
                <c:pt idx="4">
                  <c:v>Entre el 5 de Junio y el 8 de octubre</c:v>
                </c:pt>
                <c:pt idx="5">
                  <c:v>Entre el 9 octubre 2023 y 9 de enero de 2024</c:v>
                </c:pt>
                <c:pt idx="6">
                  <c:v>Entre el 10 y 28 de enero de 2024</c:v>
                </c:pt>
              </c:strCache>
            </c:strRef>
          </c:cat>
          <c:val>
            <c:numRef>
              <c:f>Hoja2!$J$2:$J$8</c:f>
              <c:numCache>
                <c:formatCode>General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31</c:v>
                </c:pt>
                <c:pt idx="3">
                  <c:v>14</c:v>
                </c:pt>
                <c:pt idx="4">
                  <c:v>78</c:v>
                </c:pt>
                <c:pt idx="5">
                  <c:v>72</c:v>
                </c:pt>
                <c:pt idx="6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4969-B4A9-E5F4F0B06A1F}"/>
            </c:ext>
          </c:extLst>
        </c:ser>
        <c:ser>
          <c:idx val="1"/>
          <c:order val="1"/>
          <c:tx>
            <c:strRef>
              <c:f>Hoja2!$K$1</c:f>
              <c:strCache>
                <c:ptCount val="1"/>
                <c:pt idx="0">
                  <c:v>P00375CC Centro de Computo Lucca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Hoja2!$I$2:$I$8</c:f>
              <c:strCache>
                <c:ptCount val="7"/>
                <c:pt idx="0">
                  <c:v>Entre el 5 y 21 de junio</c:v>
                </c:pt>
                <c:pt idx="1">
                  <c:v>Entre el 22  de Junio y el 5 de Julio</c:v>
                </c:pt>
                <c:pt idx="2">
                  <c:v>Entre el 6 de Julio y el 15 agosto</c:v>
                </c:pt>
                <c:pt idx="3">
                  <c:v>Entre el 16 de agosto y el 8 octubre</c:v>
                </c:pt>
                <c:pt idx="4">
                  <c:v>Entre el 5 de Junio y el 8 de octubre</c:v>
                </c:pt>
                <c:pt idx="5">
                  <c:v>Entre el 9 octubre 2023 y 9 de enero de 2024</c:v>
                </c:pt>
                <c:pt idx="6">
                  <c:v>Entre el 10 y 28 de enero de 2024</c:v>
                </c:pt>
              </c:strCache>
            </c:strRef>
          </c:cat>
          <c:val>
            <c:numRef>
              <c:f>Hoja2!$K$2:$K$8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27</c:v>
                </c:pt>
                <c:pt idx="3">
                  <c:v>29</c:v>
                </c:pt>
                <c:pt idx="4">
                  <c:v>56</c:v>
                </c:pt>
                <c:pt idx="5">
                  <c:v>46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C-4969-B4A9-E5F4F0B06A1F}"/>
            </c:ext>
          </c:extLst>
        </c:ser>
        <c:ser>
          <c:idx val="2"/>
          <c:order val="2"/>
          <c:tx>
            <c:strRef>
              <c:f>Hoja2!$L$1</c:f>
              <c:strCache>
                <c:ptCount val="1"/>
                <c:pt idx="0">
                  <c:v>M01377ES Escritorio Batistine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Hoja2!$I$2:$I$8</c:f>
              <c:strCache>
                <c:ptCount val="7"/>
                <c:pt idx="0">
                  <c:v>Entre el 5 y 21 de junio</c:v>
                </c:pt>
                <c:pt idx="1">
                  <c:v>Entre el 22  de Junio y el 5 de Julio</c:v>
                </c:pt>
                <c:pt idx="2">
                  <c:v>Entre el 6 de Julio y el 15 agosto</c:v>
                </c:pt>
                <c:pt idx="3">
                  <c:v>Entre el 16 de agosto y el 8 octubre</c:v>
                </c:pt>
                <c:pt idx="4">
                  <c:v>Entre el 5 de Junio y el 8 de octubre</c:v>
                </c:pt>
                <c:pt idx="5">
                  <c:v>Entre el 9 octubre 2023 y 9 de enero de 2024</c:v>
                </c:pt>
                <c:pt idx="6">
                  <c:v>Entre el 10 y 28 de enero de 2024</c:v>
                </c:pt>
              </c:strCache>
            </c:strRef>
          </c:cat>
          <c:val>
            <c:numRef>
              <c:f>Hoja2!$L$2:$L$8</c:f>
              <c:numCache>
                <c:formatCode>General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83</c:v>
                </c:pt>
                <c:pt idx="3">
                  <c:v>14</c:v>
                </c:pt>
                <c:pt idx="4">
                  <c:v>113</c:v>
                </c:pt>
                <c:pt idx="5">
                  <c:v>6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2C-4969-B4A9-E5F4F0B0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632832"/>
        <c:axId val="357634272"/>
      </c:lineChart>
      <c:catAx>
        <c:axId val="35763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34272"/>
        <c:crosses val="autoZero"/>
        <c:auto val="1"/>
        <c:lblAlgn val="ctr"/>
        <c:lblOffset val="100"/>
        <c:noMultiLvlLbl val="0"/>
      </c:catAx>
      <c:valAx>
        <c:axId val="3576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3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47</xdr:row>
      <xdr:rowOff>123825</xdr:rowOff>
    </xdr:from>
    <xdr:to>
      <xdr:col>3</xdr:col>
      <xdr:colOff>2973705</xdr:colOff>
      <xdr:row>61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BD2B6-7E30-E87D-803C-CE213E6B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662274</xdr:colOff>
      <xdr:row>10</xdr:row>
      <xdr:rowOff>185529</xdr:rowOff>
    </xdr:from>
    <xdr:to>
      <xdr:col>11</xdr:col>
      <xdr:colOff>153559</xdr:colOff>
      <xdr:row>27</xdr:row>
      <xdr:rowOff>101296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73F65C-BA5D-EDF8-D956-6C393644F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jplata@hotmail.com" TargetMode="External"/><Relationship Id="rId2" Type="http://schemas.openxmlformats.org/officeDocument/2006/relationships/hyperlink" Target="mailto:gminsuga7@gmail.com" TargetMode="External"/><Relationship Id="rId1" Type="http://schemas.openxmlformats.org/officeDocument/2006/relationships/hyperlink" Target="mailto:yancarlo.jcm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4"/>
  <sheetViews>
    <sheetView tabSelected="1" topLeftCell="A37" workbookViewId="0">
      <selection activeCell="C55" sqref="C55"/>
    </sheetView>
  </sheetViews>
  <sheetFormatPr defaultColWidth="12.7109375" defaultRowHeight="15.75" customHeight="1"/>
  <cols>
    <col min="1" max="1" width="29.7109375" customWidth="1"/>
    <col min="2" max="2" width="13.28515625" customWidth="1"/>
    <col min="3" max="3" width="33.42578125" customWidth="1"/>
    <col min="4" max="4" width="49.7109375" customWidth="1"/>
    <col min="5" max="5" width="18.28515625" customWidth="1"/>
    <col min="6" max="6" width="107" customWidth="1"/>
    <col min="7" max="7" width="15.85546875" customWidth="1"/>
  </cols>
  <sheetData>
    <row r="1" spans="1:6" ht="13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15">
      <c r="A2" s="2" t="s">
        <v>6</v>
      </c>
      <c r="B2" s="2">
        <v>3148737466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3.15">
      <c r="A3" s="2" t="s">
        <v>11</v>
      </c>
      <c r="B3" s="2">
        <v>31564648696</v>
      </c>
      <c r="C3" s="2" t="s">
        <v>12</v>
      </c>
      <c r="D3" s="2" t="s">
        <v>13</v>
      </c>
      <c r="E3" s="2" t="s">
        <v>9</v>
      </c>
      <c r="F3" s="2" t="s">
        <v>14</v>
      </c>
    </row>
    <row r="4" spans="1:6" ht="26.45">
      <c r="A4" s="2" t="s">
        <v>15</v>
      </c>
      <c r="B4" s="2">
        <v>3104910116</v>
      </c>
      <c r="C4" s="2" t="s">
        <v>16</v>
      </c>
      <c r="D4" s="2" t="s">
        <v>17</v>
      </c>
      <c r="E4" s="2" t="s">
        <v>9</v>
      </c>
      <c r="F4" s="2" t="s">
        <v>18</v>
      </c>
    </row>
    <row r="5" spans="1:6" ht="13.15">
      <c r="A5" s="2" t="s">
        <v>19</v>
      </c>
      <c r="B5" s="2">
        <v>3054347834</v>
      </c>
      <c r="C5" s="2" t="s">
        <v>20</v>
      </c>
      <c r="D5" s="2" t="s">
        <v>21</v>
      </c>
      <c r="E5" s="2" t="s">
        <v>9</v>
      </c>
      <c r="F5" s="2" t="s">
        <v>22</v>
      </c>
    </row>
    <row r="6" spans="1:6" ht="13.15">
      <c r="A6" s="2" t="s">
        <v>23</v>
      </c>
      <c r="B6" s="2">
        <v>3004678205</v>
      </c>
      <c r="C6" s="2" t="s">
        <v>24</v>
      </c>
      <c r="D6" s="2" t="s">
        <v>8</v>
      </c>
      <c r="E6" s="2" t="s">
        <v>9</v>
      </c>
      <c r="F6" s="2" t="s">
        <v>25</v>
      </c>
    </row>
    <row r="7" spans="1:6" ht="13.15">
      <c r="A7" s="2" t="s">
        <v>26</v>
      </c>
      <c r="B7" s="2">
        <v>3156376592</v>
      </c>
      <c r="C7" s="16" t="s">
        <v>27</v>
      </c>
      <c r="D7" s="2" t="s">
        <v>21</v>
      </c>
      <c r="E7" s="2" t="s">
        <v>9</v>
      </c>
      <c r="F7" s="2" t="s">
        <v>28</v>
      </c>
    </row>
    <row r="8" spans="1:6" ht="26.45">
      <c r="A8" s="2" t="s">
        <v>29</v>
      </c>
      <c r="B8" s="2">
        <v>3204159317</v>
      </c>
      <c r="C8" s="2" t="s">
        <v>30</v>
      </c>
      <c r="D8" s="2" t="s">
        <v>17</v>
      </c>
      <c r="E8" s="2" t="s">
        <v>9</v>
      </c>
      <c r="F8" s="2" t="s">
        <v>31</v>
      </c>
    </row>
    <row r="9" spans="1:6" ht="31.9" customHeight="1">
      <c r="A9" s="2" t="s">
        <v>32</v>
      </c>
      <c r="B9" s="2">
        <v>324340381</v>
      </c>
      <c r="C9" s="16" t="s">
        <v>33</v>
      </c>
      <c r="D9" s="2" t="s">
        <v>21</v>
      </c>
      <c r="E9" s="2" t="s">
        <v>9</v>
      </c>
      <c r="F9" s="2" t="s">
        <v>34</v>
      </c>
    </row>
    <row r="10" spans="1:6" ht="13.15">
      <c r="A10" s="1" t="s">
        <v>35</v>
      </c>
      <c r="B10" s="1">
        <v>3148316223</v>
      </c>
      <c r="C10" s="1" t="s">
        <v>36</v>
      </c>
      <c r="D10" s="1" t="s">
        <v>21</v>
      </c>
      <c r="E10" s="1" t="s">
        <v>9</v>
      </c>
      <c r="F10" s="1" t="s">
        <v>37</v>
      </c>
    </row>
    <row r="11" spans="1:6" ht="13.15">
      <c r="A11" s="1" t="s">
        <v>38</v>
      </c>
      <c r="B11" s="1">
        <v>3204158967</v>
      </c>
      <c r="C11" s="1" t="s">
        <v>39</v>
      </c>
      <c r="D11" s="1" t="s">
        <v>21</v>
      </c>
      <c r="E11" s="1" t="s">
        <v>9</v>
      </c>
      <c r="F11" s="1" t="s">
        <v>40</v>
      </c>
    </row>
    <row r="12" spans="1:6" ht="13.15">
      <c r="A12" s="1" t="s">
        <v>41</v>
      </c>
      <c r="B12" s="1">
        <v>3214998366</v>
      </c>
      <c r="C12" s="1" t="s">
        <v>42</v>
      </c>
      <c r="D12" s="1" t="s">
        <v>43</v>
      </c>
      <c r="E12" s="1" t="s">
        <v>9</v>
      </c>
      <c r="F12" s="1" t="s">
        <v>44</v>
      </c>
    </row>
    <row r="13" spans="1:6" ht="13.15">
      <c r="A13" s="1" t="s">
        <v>45</v>
      </c>
      <c r="B13" s="1">
        <v>3052204900</v>
      </c>
      <c r="C13" s="1" t="s">
        <v>46</v>
      </c>
      <c r="D13" s="1" t="s">
        <v>43</v>
      </c>
      <c r="E13" s="1" t="s">
        <v>9</v>
      </c>
      <c r="F13" s="1" t="s">
        <v>47</v>
      </c>
    </row>
    <row r="14" spans="1:6" ht="13.9" thickBot="1">
      <c r="A14" s="1" t="s">
        <v>48</v>
      </c>
      <c r="B14" s="1">
        <v>3012830078</v>
      </c>
      <c r="C14" s="17" t="s">
        <v>49</v>
      </c>
      <c r="D14" s="1" t="s">
        <v>21</v>
      </c>
      <c r="E14" s="1" t="s">
        <v>9</v>
      </c>
      <c r="F14" s="1" t="s">
        <v>50</v>
      </c>
    </row>
    <row r="15" spans="1:6" ht="15.75" customHeight="1" thickBot="1">
      <c r="A15" s="29" t="s">
        <v>51</v>
      </c>
      <c r="B15" s="30">
        <v>3102137878</v>
      </c>
      <c r="C15" s="29" t="s">
        <v>52</v>
      </c>
      <c r="D15" s="29" t="s">
        <v>43</v>
      </c>
      <c r="E15" s="29" t="s">
        <v>9</v>
      </c>
      <c r="F15" s="29" t="s">
        <v>53</v>
      </c>
    </row>
    <row r="16" spans="1:6" ht="15.75" customHeight="1" thickBot="1">
      <c r="A16" s="29" t="s">
        <v>54</v>
      </c>
      <c r="B16" s="30">
        <v>3122720655</v>
      </c>
      <c r="C16" s="29" t="s">
        <v>55</v>
      </c>
      <c r="D16" s="29" t="s">
        <v>21</v>
      </c>
      <c r="E16" s="29" t="s">
        <v>9</v>
      </c>
      <c r="F16" s="29" t="s">
        <v>56</v>
      </c>
    </row>
    <row r="17" spans="1:6" ht="39.6">
      <c r="A17" s="36" t="s">
        <v>57</v>
      </c>
      <c r="B17" s="37">
        <v>3235855079</v>
      </c>
      <c r="C17" s="36" t="s">
        <v>58</v>
      </c>
      <c r="D17" s="36" t="s">
        <v>8</v>
      </c>
      <c r="E17" s="36" t="s">
        <v>9</v>
      </c>
      <c r="F17" s="36" t="s">
        <v>59</v>
      </c>
    </row>
    <row r="18" spans="1:6" ht="15.75" customHeight="1">
      <c r="A18" s="36" t="s">
        <v>60</v>
      </c>
      <c r="B18" s="37">
        <v>3102249892</v>
      </c>
      <c r="C18" s="36" t="s">
        <v>61</v>
      </c>
      <c r="D18" s="36" t="s">
        <v>21</v>
      </c>
      <c r="E18" s="36" t="s">
        <v>9</v>
      </c>
      <c r="F18" s="36" t="s">
        <v>62</v>
      </c>
    </row>
    <row r="19" spans="1:6" ht="15.75" customHeight="1">
      <c r="A19" s="36" t="s">
        <v>63</v>
      </c>
      <c r="B19" s="37">
        <v>3197429621</v>
      </c>
      <c r="C19" s="36" t="s">
        <v>64</v>
      </c>
      <c r="D19" s="36" t="s">
        <v>8</v>
      </c>
      <c r="E19" s="36" t="s">
        <v>9</v>
      </c>
      <c r="F19" s="36" t="s">
        <v>65</v>
      </c>
    </row>
    <row r="20" spans="1:6" ht="15.75" customHeight="1" thickBot="1">
      <c r="A20" s="36" t="s">
        <v>66</v>
      </c>
      <c r="B20" s="37">
        <v>3505057439</v>
      </c>
      <c r="C20" s="36" t="s">
        <v>67</v>
      </c>
      <c r="D20" s="36" t="s">
        <v>17</v>
      </c>
      <c r="E20" s="36" t="s">
        <v>9</v>
      </c>
      <c r="F20" s="36" t="s">
        <v>68</v>
      </c>
    </row>
    <row r="21" spans="1:6" ht="21.6" customHeight="1" thickBot="1">
      <c r="A21" s="32" t="s">
        <v>69</v>
      </c>
      <c r="B21" s="33">
        <v>302346781</v>
      </c>
      <c r="C21" s="32" t="s">
        <v>70</v>
      </c>
      <c r="D21" s="32" t="s">
        <v>21</v>
      </c>
      <c r="E21" s="32" t="s">
        <v>9</v>
      </c>
      <c r="F21" s="32" t="s">
        <v>71</v>
      </c>
    </row>
    <row r="22" spans="1:6" ht="15.75" customHeight="1" thickBot="1">
      <c r="A22" s="32" t="s">
        <v>72</v>
      </c>
      <c r="B22" s="33">
        <v>3023467853</v>
      </c>
      <c r="C22" s="32" t="s">
        <v>73</v>
      </c>
      <c r="D22" s="32" t="s">
        <v>21</v>
      </c>
      <c r="E22" s="32" t="s">
        <v>9</v>
      </c>
      <c r="F22" s="32" t="s">
        <v>74</v>
      </c>
    </row>
    <row r="23" spans="1:6" ht="15.75" customHeight="1" thickBot="1">
      <c r="A23" s="29" t="s">
        <v>75</v>
      </c>
      <c r="B23" s="30">
        <v>985856920</v>
      </c>
      <c r="C23" s="29" t="s">
        <v>76</v>
      </c>
      <c r="D23" s="29" t="s">
        <v>43</v>
      </c>
      <c r="E23" s="29" t="s">
        <v>77</v>
      </c>
      <c r="F23" s="29" t="s">
        <v>78</v>
      </c>
    </row>
    <row r="24" spans="1:6" ht="15.75" customHeight="1" thickBot="1">
      <c r="A24" s="29" t="s">
        <v>79</v>
      </c>
      <c r="B24" s="30">
        <v>3043803523</v>
      </c>
      <c r="C24" s="29" t="s">
        <v>80</v>
      </c>
      <c r="D24" s="29" t="s">
        <v>17</v>
      </c>
      <c r="E24" s="29" t="s">
        <v>9</v>
      </c>
      <c r="F24" s="29" t="s">
        <v>10</v>
      </c>
    </row>
    <row r="25" spans="1:6" ht="15.75" customHeight="1" thickBot="1">
      <c r="A25" s="29" t="s">
        <v>81</v>
      </c>
      <c r="B25" s="30">
        <v>93847474</v>
      </c>
      <c r="C25" s="29" t="s">
        <v>82</v>
      </c>
      <c r="D25" s="29" t="s">
        <v>8</v>
      </c>
      <c r="E25" s="29" t="s">
        <v>9</v>
      </c>
      <c r="F25" s="29" t="s">
        <v>83</v>
      </c>
    </row>
    <row r="26" spans="1:6" ht="15.75" customHeight="1" thickBot="1">
      <c r="A26" s="29" t="s">
        <v>84</v>
      </c>
      <c r="B26" s="30">
        <v>3044215868</v>
      </c>
      <c r="C26" s="29" t="s">
        <v>85</v>
      </c>
      <c r="D26" s="29" t="s">
        <v>21</v>
      </c>
      <c r="E26" s="29" t="s">
        <v>77</v>
      </c>
      <c r="F26" s="29" t="s">
        <v>86</v>
      </c>
    </row>
    <row r="27" spans="1:6" ht="15.75" customHeight="1" thickBot="1">
      <c r="A27" s="29" t="s">
        <v>87</v>
      </c>
      <c r="B27" s="30">
        <v>3102578898</v>
      </c>
      <c r="C27" s="29" t="s">
        <v>88</v>
      </c>
      <c r="D27" s="29" t="s">
        <v>21</v>
      </c>
      <c r="E27" s="29" t="s">
        <v>9</v>
      </c>
      <c r="F27" s="29" t="s">
        <v>89</v>
      </c>
    </row>
    <row r="28" spans="1:6" ht="15.75" customHeight="1" thickBot="1">
      <c r="A28" s="29" t="s">
        <v>90</v>
      </c>
      <c r="B28" s="30">
        <v>3023206445</v>
      </c>
      <c r="C28" s="29" t="s">
        <v>91</v>
      </c>
      <c r="D28" s="29" t="s">
        <v>17</v>
      </c>
      <c r="E28" s="29" t="s">
        <v>9</v>
      </c>
      <c r="F28" s="29" t="s">
        <v>92</v>
      </c>
    </row>
    <row r="29" spans="1:6" ht="15.75" customHeight="1" thickBot="1">
      <c r="A29" s="29" t="s">
        <v>93</v>
      </c>
      <c r="B29" s="30">
        <v>3115680325</v>
      </c>
      <c r="C29" s="29" t="s">
        <v>94</v>
      </c>
      <c r="D29" s="29" t="s">
        <v>17</v>
      </c>
      <c r="E29" s="29" t="s">
        <v>9</v>
      </c>
      <c r="F29" s="29" t="s">
        <v>95</v>
      </c>
    </row>
    <row r="30" spans="1:6" ht="15.75" customHeight="1" thickBot="1">
      <c r="A30" s="29" t="s">
        <v>96</v>
      </c>
      <c r="B30" s="30">
        <v>3222357965</v>
      </c>
      <c r="C30" s="29" t="s">
        <v>97</v>
      </c>
      <c r="D30" s="29" t="s">
        <v>21</v>
      </c>
      <c r="E30" s="29" t="s">
        <v>9</v>
      </c>
      <c r="F30" s="29" t="s">
        <v>98</v>
      </c>
    </row>
    <row r="31" spans="1:6" ht="15.75" customHeight="1" thickBot="1">
      <c r="A31" s="29" t="s">
        <v>99</v>
      </c>
      <c r="B31" s="30">
        <v>3023637949</v>
      </c>
      <c r="C31" s="29" t="s">
        <v>100</v>
      </c>
      <c r="D31" s="29" t="s">
        <v>21</v>
      </c>
      <c r="E31" s="29" t="s">
        <v>9</v>
      </c>
      <c r="F31" s="31" t="s">
        <v>101</v>
      </c>
    </row>
    <row r="32" spans="1:6" ht="15.75" customHeight="1" thickBot="1">
      <c r="A32" s="29" t="s">
        <v>102</v>
      </c>
      <c r="B32" s="30">
        <v>3045225174</v>
      </c>
      <c r="C32" s="29" t="s">
        <v>103</v>
      </c>
      <c r="D32" s="29" t="s">
        <v>8</v>
      </c>
      <c r="E32" s="29" t="s">
        <v>9</v>
      </c>
      <c r="F32" s="29" t="s">
        <v>104</v>
      </c>
    </row>
    <row r="33" spans="1:6" ht="15.75" customHeight="1" thickBot="1">
      <c r="A33" s="29" t="s">
        <v>105</v>
      </c>
      <c r="B33" s="30">
        <v>3127812568</v>
      </c>
      <c r="C33" s="29" t="s">
        <v>106</v>
      </c>
      <c r="D33" s="29" t="s">
        <v>17</v>
      </c>
      <c r="E33" s="29" t="s">
        <v>9</v>
      </c>
      <c r="F33" s="29" t="s">
        <v>107</v>
      </c>
    </row>
    <row r="34" spans="1:6" ht="15.75" customHeight="1" thickBot="1">
      <c r="A34" s="29" t="s">
        <v>108</v>
      </c>
      <c r="B34" s="30">
        <v>3125273109</v>
      </c>
      <c r="C34" s="29" t="s">
        <v>109</v>
      </c>
      <c r="D34" s="29" t="s">
        <v>8</v>
      </c>
      <c r="E34" s="29" t="s">
        <v>9</v>
      </c>
      <c r="F34" s="29" t="s">
        <v>65</v>
      </c>
    </row>
    <row r="35" spans="1:6" ht="15.75" customHeight="1" thickBot="1">
      <c r="A35" s="29" t="s">
        <v>110</v>
      </c>
      <c r="B35" s="30">
        <v>3012446539</v>
      </c>
      <c r="C35" s="29" t="s">
        <v>111</v>
      </c>
      <c r="D35" s="29" t="s">
        <v>8</v>
      </c>
      <c r="E35" s="29" t="s">
        <v>9</v>
      </c>
      <c r="F35" s="29" t="s">
        <v>112</v>
      </c>
    </row>
    <row r="36" spans="1:6" ht="15.75" customHeight="1" thickBot="1">
      <c r="A36" s="29" t="s">
        <v>113</v>
      </c>
      <c r="B36" s="30">
        <v>3132846956</v>
      </c>
      <c r="C36" s="29" t="s">
        <v>114</v>
      </c>
      <c r="D36" s="29" t="s">
        <v>8</v>
      </c>
      <c r="E36" s="29" t="s">
        <v>9</v>
      </c>
      <c r="F36" s="29" t="s">
        <v>115</v>
      </c>
    </row>
    <row r="37" spans="1:6" ht="15.75" customHeight="1" thickBot="1">
      <c r="A37" s="29" t="s">
        <v>116</v>
      </c>
      <c r="B37" s="30">
        <v>3162405079</v>
      </c>
      <c r="C37" s="29" t="s">
        <v>117</v>
      </c>
      <c r="D37" s="29" t="s">
        <v>8</v>
      </c>
      <c r="E37" s="29" t="s">
        <v>9</v>
      </c>
      <c r="F37" s="29" t="s">
        <v>68</v>
      </c>
    </row>
    <row r="38" spans="1:6" ht="15.75" customHeight="1" thickBot="1">
      <c r="A38" s="29" t="s">
        <v>118</v>
      </c>
      <c r="B38" s="30">
        <v>3103072744</v>
      </c>
      <c r="C38" s="29" t="s">
        <v>119</v>
      </c>
      <c r="D38" s="29" t="s">
        <v>43</v>
      </c>
      <c r="E38" s="29" t="s">
        <v>9</v>
      </c>
      <c r="F38" s="29" t="s">
        <v>120</v>
      </c>
    </row>
    <row r="39" spans="1:6" ht="15.75" customHeight="1" thickBot="1">
      <c r="A39" s="29" t="s">
        <v>121</v>
      </c>
      <c r="B39" s="30">
        <v>3113968149</v>
      </c>
      <c r="C39" s="29" t="s">
        <v>122</v>
      </c>
      <c r="D39" s="29" t="s">
        <v>21</v>
      </c>
      <c r="E39" s="29" t="s">
        <v>9</v>
      </c>
      <c r="F39" s="29" t="s">
        <v>123</v>
      </c>
    </row>
    <row r="40" spans="1:6" ht="15.75" customHeight="1" thickBot="1">
      <c r="A40" s="29" t="s">
        <v>124</v>
      </c>
      <c r="B40" s="30">
        <v>3152108501</v>
      </c>
      <c r="C40" s="29" t="s">
        <v>125</v>
      </c>
      <c r="D40" s="29" t="s">
        <v>43</v>
      </c>
      <c r="E40" s="29" t="s">
        <v>9</v>
      </c>
      <c r="F40" s="29" t="s">
        <v>78</v>
      </c>
    </row>
    <row r="41" spans="1:6" ht="15.75" customHeight="1">
      <c r="A41" s="36"/>
      <c r="B41" s="37"/>
      <c r="C41" s="36"/>
      <c r="D41" s="36"/>
      <c r="E41" s="36"/>
      <c r="F41" s="36"/>
    </row>
    <row r="43" spans="1:6" ht="15.75" customHeight="1">
      <c r="C43" s="34" t="s">
        <v>126</v>
      </c>
      <c r="D43" s="34"/>
    </row>
    <row r="44" spans="1:6" ht="15.75" customHeight="1">
      <c r="C44" s="38" t="s">
        <v>127</v>
      </c>
      <c r="D44" s="14">
        <v>27</v>
      </c>
    </row>
    <row r="45" spans="1:6" ht="15.75" customHeight="1">
      <c r="C45" s="38" t="s">
        <v>128</v>
      </c>
      <c r="D45" s="14">
        <v>9</v>
      </c>
    </row>
    <row r="46" spans="1:6" ht="15.75" customHeight="1">
      <c r="C46" s="38" t="s">
        <v>129</v>
      </c>
      <c r="D46" s="14">
        <v>2</v>
      </c>
    </row>
    <row r="64" spans="4:4" ht="15.75" customHeight="1" thickBot="1">
      <c r="D64" s="3" t="s">
        <v>130</v>
      </c>
    </row>
    <row r="65" spans="3:5" ht="15.75" customHeight="1">
      <c r="C65" s="39" t="s">
        <v>13</v>
      </c>
      <c r="D65" s="8">
        <v>1</v>
      </c>
    </row>
    <row r="66" spans="3:5" ht="15.75" customHeight="1">
      <c r="C66" s="40" t="s">
        <v>17</v>
      </c>
      <c r="D66" s="10">
        <v>6</v>
      </c>
    </row>
    <row r="67" spans="3:5" ht="15.75" customHeight="1">
      <c r="C67" s="40" t="s">
        <v>43</v>
      </c>
      <c r="D67" s="10">
        <v>6</v>
      </c>
    </row>
    <row r="68" spans="3:5" ht="15.75" customHeight="1">
      <c r="C68" s="9" t="s">
        <v>8</v>
      </c>
      <c r="D68" s="10">
        <v>8</v>
      </c>
    </row>
    <row r="69" spans="3:5" ht="15.75" customHeight="1" thickBot="1">
      <c r="C69" s="41" t="s">
        <v>21</v>
      </c>
      <c r="D69" s="11">
        <v>13</v>
      </c>
    </row>
    <row r="72" spans="3:5" ht="15.75" customHeight="1">
      <c r="D72" s="38" t="s">
        <v>131</v>
      </c>
      <c r="E72" s="14">
        <v>641</v>
      </c>
    </row>
    <row r="73" spans="3:5" ht="15.75" customHeight="1">
      <c r="D73" s="38" t="s">
        <v>132</v>
      </c>
      <c r="E73" s="14">
        <v>39</v>
      </c>
    </row>
    <row r="74" spans="3:5" ht="15.75" customHeight="1">
      <c r="D74" s="38" t="s">
        <v>133</v>
      </c>
      <c r="E74" s="15">
        <f>+Hoja2!G8</f>
        <v>4.8543689320388349E-2</v>
      </c>
    </row>
  </sheetData>
  <mergeCells count="1">
    <mergeCell ref="C43:D43"/>
  </mergeCells>
  <hyperlinks>
    <hyperlink ref="C7" r:id="rId1" xr:uid="{9BAA9547-2B59-4EB7-8F55-3B618295CFC7}"/>
    <hyperlink ref="C9" r:id="rId2" xr:uid="{21125EAF-8560-413C-82A8-99C0CD6619DB}"/>
    <hyperlink ref="C14" r:id="rId3" xr:uid="{900CEEA5-BCF5-42FA-98FB-1BE265B7EA1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0FFF-2FEA-4AFF-BD6B-5D5509BB1DCE}">
  <dimension ref="B1:Q73"/>
  <sheetViews>
    <sheetView topLeftCell="E1" zoomScale="115" zoomScaleNormal="115" workbookViewId="0">
      <selection activeCell="J11" sqref="J11"/>
    </sheetView>
  </sheetViews>
  <sheetFormatPr defaultColWidth="11.5703125" defaultRowHeight="13.9"/>
  <cols>
    <col min="1" max="1" width="11.5703125" style="20"/>
    <col min="2" max="2" width="38.28515625" style="20" bestFit="1" customWidth="1"/>
    <col min="3" max="3" width="48" style="20" bestFit="1" customWidth="1"/>
    <col min="4" max="4" width="13" style="20" bestFit="1" customWidth="1"/>
    <col min="5" max="5" width="18.28515625" style="20" customWidth="1"/>
    <col min="6" max="8" width="11.5703125" style="20"/>
    <col min="9" max="9" width="39.5703125" style="20" customWidth="1"/>
    <col min="10" max="11" width="13.28515625" style="20" customWidth="1"/>
    <col min="12" max="12" width="13.5703125" style="20" customWidth="1"/>
    <col min="13" max="16384" width="11.5703125" style="20"/>
  </cols>
  <sheetData>
    <row r="1" spans="2:17" ht="60">
      <c r="I1" s="23" t="s">
        <v>134</v>
      </c>
      <c r="J1" s="25" t="s">
        <v>135</v>
      </c>
      <c r="K1" s="25" t="s">
        <v>136</v>
      </c>
      <c r="L1" s="25" t="s">
        <v>137</v>
      </c>
    </row>
    <row r="2" spans="2:17" ht="15" thickBot="1">
      <c r="C2" s="3" t="s">
        <v>138</v>
      </c>
      <c r="I2" s="21" t="s">
        <v>139</v>
      </c>
      <c r="J2" s="24">
        <v>17</v>
      </c>
      <c r="K2" s="24">
        <v>0</v>
      </c>
      <c r="L2" s="24">
        <v>6</v>
      </c>
    </row>
    <row r="3" spans="2:17" ht="15" thickBot="1">
      <c r="B3" s="4" t="s">
        <v>135</v>
      </c>
      <c r="C3" s="5">
        <v>17</v>
      </c>
      <c r="E3" s="20">
        <f>+C3+C10+C17+C24</f>
        <v>78</v>
      </c>
      <c r="I3" s="21" t="s">
        <v>140</v>
      </c>
      <c r="J3" s="24">
        <v>16</v>
      </c>
      <c r="K3" s="24">
        <v>0</v>
      </c>
      <c r="L3" s="24">
        <v>10</v>
      </c>
    </row>
    <row r="4" spans="2:17" ht="15" thickBot="1">
      <c r="B4" s="6" t="s">
        <v>136</v>
      </c>
      <c r="C4" s="7">
        <v>0</v>
      </c>
      <c r="E4" s="20">
        <f>+C4+C11+C18+C25</f>
        <v>56</v>
      </c>
      <c r="I4" s="21" t="s">
        <v>141</v>
      </c>
      <c r="J4" s="24">
        <v>31</v>
      </c>
      <c r="K4" s="24">
        <v>27</v>
      </c>
      <c r="L4" s="24">
        <v>83</v>
      </c>
    </row>
    <row r="5" spans="2:17" ht="15" thickBot="1">
      <c r="B5" s="6" t="s">
        <v>137</v>
      </c>
      <c r="C5" s="7">
        <v>6</v>
      </c>
      <c r="E5" s="20">
        <f>+C5+C12+C19+C26</f>
        <v>113</v>
      </c>
      <c r="I5" s="21" t="s">
        <v>142</v>
      </c>
      <c r="J5" s="24">
        <v>14</v>
      </c>
      <c r="K5" s="24">
        <v>29</v>
      </c>
      <c r="L5" s="24">
        <v>14</v>
      </c>
    </row>
    <row r="6" spans="2:17" ht="15" thickBot="1">
      <c r="B6" s="6" t="s">
        <v>143</v>
      </c>
      <c r="C6" s="7">
        <v>3</v>
      </c>
      <c r="E6" s="20">
        <f>+C6+C13+C20+C27</f>
        <v>62</v>
      </c>
      <c r="I6" s="21" t="s">
        <v>144</v>
      </c>
      <c r="J6" s="24">
        <v>78</v>
      </c>
      <c r="K6" s="24">
        <v>56</v>
      </c>
      <c r="L6" s="24">
        <v>113</v>
      </c>
    </row>
    <row r="7" spans="2:17">
      <c r="I7" s="21" t="s">
        <v>145</v>
      </c>
      <c r="J7" s="24">
        <v>72</v>
      </c>
      <c r="K7" s="24">
        <v>46</v>
      </c>
      <c r="L7" s="24">
        <v>6</v>
      </c>
    </row>
    <row r="8" spans="2:17">
      <c r="E8" s="20">
        <f>SUM(E3:E7)</f>
        <v>309</v>
      </c>
      <c r="F8" s="20">
        <v>15</v>
      </c>
      <c r="G8" s="22">
        <f>+F8/E8</f>
        <v>4.8543689320388349E-2</v>
      </c>
      <c r="I8" s="21" t="s">
        <v>146</v>
      </c>
      <c r="J8" s="24">
        <v>413</v>
      </c>
      <c r="K8" s="24">
        <v>34</v>
      </c>
      <c r="L8" s="24">
        <v>34</v>
      </c>
      <c r="O8" s="20" t="s">
        <v>134</v>
      </c>
      <c r="P8" s="20">
        <f>+J2+J3+J4+J5+J6+J7</f>
        <v>228</v>
      </c>
      <c r="Q8" s="20">
        <v>413</v>
      </c>
    </row>
    <row r="9" spans="2:17" ht="15" thickBot="1">
      <c r="C9" s="3" t="s">
        <v>147</v>
      </c>
      <c r="N9" s="26">
        <v>45300</v>
      </c>
      <c r="O9" s="26">
        <v>45082</v>
      </c>
      <c r="P9" s="28">
        <f>+N9-O9</f>
        <v>218</v>
      </c>
      <c r="Q9" s="20">
        <v>18</v>
      </c>
    </row>
    <row r="10" spans="2:17" ht="15" thickBot="1">
      <c r="B10" s="4" t="s">
        <v>135</v>
      </c>
      <c r="C10" s="5">
        <v>16</v>
      </c>
      <c r="J10" s="20">
        <f>SUM(J2:J9)</f>
        <v>641</v>
      </c>
    </row>
    <row r="11" spans="2:17" ht="15" thickBot="1">
      <c r="B11" s="6" t="s">
        <v>136</v>
      </c>
      <c r="C11" s="7">
        <v>0</v>
      </c>
      <c r="P11" s="27">
        <f>+P8/P9</f>
        <v>1.0458715596330275</v>
      </c>
      <c r="Q11" s="27">
        <f>+Q8/Q9</f>
        <v>22.944444444444443</v>
      </c>
    </row>
    <row r="12" spans="2:17" ht="15" thickBot="1">
      <c r="B12" s="6" t="s">
        <v>137</v>
      </c>
      <c r="C12" s="7">
        <v>10</v>
      </c>
    </row>
    <row r="13" spans="2:17" ht="15" thickBot="1">
      <c r="B13" s="6" t="s">
        <v>143</v>
      </c>
      <c r="C13" s="7">
        <v>0</v>
      </c>
    </row>
    <row r="15" spans="2:17" ht="17.45">
      <c r="N15" s="35" t="s">
        <v>148</v>
      </c>
      <c r="O15" s="35"/>
      <c r="P15" s="35"/>
      <c r="Q15" s="35"/>
    </row>
    <row r="16" spans="2:17" ht="15" thickBot="1">
      <c r="C16" s="3" t="s">
        <v>149</v>
      </c>
    </row>
    <row r="17" spans="2:5" ht="15" thickBot="1">
      <c r="B17" s="4" t="s">
        <v>135</v>
      </c>
      <c r="C17" s="5">
        <v>31</v>
      </c>
    </row>
    <row r="18" spans="2:5" ht="15" thickBot="1">
      <c r="B18" s="6" t="s">
        <v>136</v>
      </c>
      <c r="C18" s="7">
        <v>27</v>
      </c>
    </row>
    <row r="19" spans="2:5" ht="15" thickBot="1">
      <c r="B19" s="6" t="s">
        <v>137</v>
      </c>
      <c r="C19" s="7">
        <v>83</v>
      </c>
    </row>
    <row r="20" spans="2:5" ht="15" thickBot="1">
      <c r="B20" s="6" t="s">
        <v>143</v>
      </c>
      <c r="C20" s="7">
        <v>3</v>
      </c>
    </row>
    <row r="23" spans="2:5" ht="15" thickBot="1">
      <c r="C23" s="3" t="s">
        <v>150</v>
      </c>
    </row>
    <row r="24" spans="2:5" ht="15" thickBot="1">
      <c r="B24" s="4" t="s">
        <v>135</v>
      </c>
      <c r="C24" s="5">
        <v>14</v>
      </c>
    </row>
    <row r="25" spans="2:5" ht="15" thickBot="1">
      <c r="B25" s="6" t="s">
        <v>136</v>
      </c>
      <c r="C25" s="7">
        <v>29</v>
      </c>
    </row>
    <row r="26" spans="2:5" ht="15" thickBot="1">
      <c r="B26" s="6" t="s">
        <v>137</v>
      </c>
      <c r="C26" s="7">
        <v>14</v>
      </c>
    </row>
    <row r="27" spans="2:5" ht="15" thickBot="1">
      <c r="B27" s="6" t="s">
        <v>143</v>
      </c>
      <c r="C27" s="7">
        <v>56</v>
      </c>
    </row>
    <row r="30" spans="2:5" ht="15" thickBot="1">
      <c r="C30" s="3" t="s">
        <v>151</v>
      </c>
      <c r="D30" s="3" t="s">
        <v>152</v>
      </c>
      <c r="E30" s="3" t="s">
        <v>153</v>
      </c>
    </row>
    <row r="31" spans="2:5" ht="15" thickBot="1">
      <c r="B31" s="4" t="s">
        <v>135</v>
      </c>
      <c r="C31" s="5">
        <f>+E3</f>
        <v>78</v>
      </c>
      <c r="D31" s="5">
        <v>150</v>
      </c>
      <c r="E31" s="5">
        <v>150</v>
      </c>
    </row>
    <row r="32" spans="2:5" ht="15" thickBot="1">
      <c r="B32" s="6" t="s">
        <v>136</v>
      </c>
      <c r="C32" s="5">
        <f>+E4</f>
        <v>56</v>
      </c>
      <c r="D32" s="5">
        <v>150</v>
      </c>
      <c r="E32" s="5">
        <v>150</v>
      </c>
    </row>
    <row r="33" spans="2:5" ht="15" thickBot="1">
      <c r="B33" s="6" t="s">
        <v>137</v>
      </c>
      <c r="C33" s="5">
        <f>+E5</f>
        <v>113</v>
      </c>
      <c r="D33" s="5">
        <v>150</v>
      </c>
      <c r="E33" s="5">
        <v>150</v>
      </c>
    </row>
    <row r="34" spans="2:5" ht="15" thickBot="1">
      <c r="B34" s="6" t="s">
        <v>143</v>
      </c>
      <c r="C34" s="5">
        <f>+E6</f>
        <v>62</v>
      </c>
      <c r="D34" s="5">
        <v>150</v>
      </c>
      <c r="E34" s="5">
        <v>150</v>
      </c>
    </row>
    <row r="36" spans="2:5" ht="14.45">
      <c r="B36" s="12" t="s">
        <v>154</v>
      </c>
      <c r="C36" s="13">
        <f>SUM(C31:C35)</f>
        <v>309</v>
      </c>
    </row>
    <row r="39" spans="2:5" ht="15" thickBot="1">
      <c r="C39" s="3" t="s">
        <v>155</v>
      </c>
    </row>
    <row r="40" spans="2:5" ht="15" thickBot="1">
      <c r="B40" s="18" t="s">
        <v>135</v>
      </c>
      <c r="C40" s="5">
        <v>72</v>
      </c>
      <c r="E40" s="20" t="s">
        <v>156</v>
      </c>
    </row>
    <row r="41" spans="2:5" ht="15" thickBot="1">
      <c r="B41" s="19" t="s">
        <v>136</v>
      </c>
      <c r="C41" s="7">
        <v>46</v>
      </c>
      <c r="E41" s="20" t="s">
        <v>157</v>
      </c>
    </row>
    <row r="42" spans="2:5" ht="15" thickBot="1">
      <c r="B42" s="19" t="s">
        <v>137</v>
      </c>
      <c r="C42" s="7">
        <v>6</v>
      </c>
    </row>
    <row r="43" spans="2:5" ht="15" thickBot="1">
      <c r="B43" s="6" t="s">
        <v>143</v>
      </c>
      <c r="C43" s="7">
        <v>67</v>
      </c>
    </row>
    <row r="44" spans="2:5" ht="15" thickBot="1">
      <c r="B44" s="19" t="s">
        <v>158</v>
      </c>
      <c r="C44" s="7">
        <v>6</v>
      </c>
    </row>
    <row r="45" spans="2:5" ht="15" thickBot="1">
      <c r="B45" s="19" t="s">
        <v>159</v>
      </c>
      <c r="C45" s="7">
        <v>4</v>
      </c>
    </row>
    <row r="48" spans="2:5" ht="14.45">
      <c r="B48" s="12" t="s">
        <v>154</v>
      </c>
      <c r="C48" s="13">
        <f>SUM(C40:C45)+C36</f>
        <v>510</v>
      </c>
    </row>
    <row r="52" spans="2:3" ht="15" thickBot="1">
      <c r="C52" s="3" t="s">
        <v>160</v>
      </c>
    </row>
    <row r="53" spans="2:3" ht="15" thickBot="1">
      <c r="B53" s="18" t="s">
        <v>135</v>
      </c>
      <c r="C53" s="5">
        <v>168</v>
      </c>
    </row>
    <row r="54" spans="2:3" ht="15" thickBot="1">
      <c r="B54" s="19" t="s">
        <v>136</v>
      </c>
      <c r="C54" s="7">
        <v>13</v>
      </c>
    </row>
    <row r="55" spans="2:3" ht="15" thickBot="1">
      <c r="B55" s="19" t="s">
        <v>137</v>
      </c>
      <c r="C55" s="7">
        <v>10</v>
      </c>
    </row>
    <row r="56" spans="2:3" ht="15" thickBot="1">
      <c r="B56" s="6" t="s">
        <v>143</v>
      </c>
      <c r="C56" s="7"/>
    </row>
    <row r="57" spans="2:3" ht="15" thickBot="1">
      <c r="B57" s="19" t="s">
        <v>158</v>
      </c>
      <c r="C57" s="7">
        <v>0</v>
      </c>
    </row>
    <row r="58" spans="2:3" ht="15" thickBot="1">
      <c r="B58" s="19" t="s">
        <v>159</v>
      </c>
      <c r="C58" s="7">
        <v>0</v>
      </c>
    </row>
    <row r="61" spans="2:3" ht="14.45">
      <c r="B61" s="12" t="s">
        <v>154</v>
      </c>
      <c r="C61" s="13">
        <f>SUM(C53:C58)+C48</f>
        <v>701</v>
      </c>
    </row>
    <row r="64" spans="2:3" ht="15" thickBot="1">
      <c r="C64" s="3" t="s">
        <v>161</v>
      </c>
    </row>
    <row r="65" spans="2:3" ht="15" thickBot="1">
      <c r="B65" s="18" t="s">
        <v>135</v>
      </c>
      <c r="C65" s="5">
        <v>413</v>
      </c>
    </row>
    <row r="66" spans="2:3" ht="15" thickBot="1">
      <c r="B66" s="19" t="s">
        <v>136</v>
      </c>
      <c r="C66" s="7">
        <v>34</v>
      </c>
    </row>
    <row r="67" spans="2:3" ht="15" thickBot="1">
      <c r="B67" s="19" t="s">
        <v>137</v>
      </c>
      <c r="C67" s="7">
        <v>34</v>
      </c>
    </row>
    <row r="68" spans="2:3" ht="15" thickBot="1">
      <c r="B68" s="6" t="s">
        <v>143</v>
      </c>
      <c r="C68" s="7"/>
    </row>
    <row r="69" spans="2:3" ht="15" thickBot="1">
      <c r="B69" s="19" t="s">
        <v>158</v>
      </c>
      <c r="C69" s="7">
        <v>0</v>
      </c>
    </row>
    <row r="70" spans="2:3" ht="15" thickBot="1">
      <c r="B70" s="19" t="s">
        <v>159</v>
      </c>
      <c r="C70" s="7">
        <v>1</v>
      </c>
    </row>
    <row r="73" spans="2:3" ht="14.45">
      <c r="B73" s="12" t="s">
        <v>154</v>
      </c>
      <c r="C73" s="13">
        <f>SUM(C65:C70)+C60</f>
        <v>482</v>
      </c>
    </row>
  </sheetData>
  <mergeCells count="1">
    <mergeCell ref="N15:Q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MARIO MOJICA REYES</dc:creator>
  <cp:keywords/>
  <dc:description/>
  <cp:lastModifiedBy>Mario  Mojica</cp:lastModifiedBy>
  <cp:revision/>
  <dcterms:created xsi:type="dcterms:W3CDTF">2023-10-09T14:42:38Z</dcterms:created>
  <dcterms:modified xsi:type="dcterms:W3CDTF">2024-04-21T03:47:50Z</dcterms:modified>
  <cp:category/>
  <cp:contentStatus/>
</cp:coreProperties>
</file>